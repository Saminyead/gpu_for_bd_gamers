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330" tabRatio="600" firstSheet="0" activeTab="3" autoFilterDateGrouping="1"/>
  </bookViews>
  <sheets>
    <sheet name="tier_score_sheet" sheetId="1" state="visible" r:id="rId1"/>
    <sheet name="comment_table" sheetId="2" state="visible" r:id="rId2"/>
    <sheet name="overall_tier_scores" sheetId="3" state="visible" r:id="rId3"/>
    <sheet name="tier_score_sheet_copy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color theme="1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sz val="11"/>
    </font>
    <font>
      <name val="Calibri"/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FFC6EFCE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3">
    <xf numFmtId="0" fontId="2" fillId="0" borderId="0"/>
    <xf numFmtId="43" fontId="2" fillId="0" borderId="0"/>
    <xf numFmtId="0" fontId="3" fillId="2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5" fillId="0" borderId="1" applyAlignment="1" pivotButton="0" quotePrefix="0" xfId="0">
      <alignment horizontal="center" vertical="top"/>
    </xf>
    <xf numFmtId="0" fontId="4" fillId="0" borderId="0" pivotButton="0" quotePrefix="0" xfId="0"/>
    <xf numFmtId="0" fontId="3" fillId="2" borderId="0" pivotButton="0" quotePrefix="0" xfId="2"/>
    <xf numFmtId="43" fontId="3" fillId="2" borderId="0" pivotButton="0" quotePrefix="0" xfId="2"/>
    <xf numFmtId="43" fontId="0" fillId="0" borderId="0" pivotButton="0" quotePrefix="0" xfId="1"/>
    <xf numFmtId="0" fontId="5" fillId="0" borderId="2" applyAlignment="1" pivotButton="0" quotePrefix="0" xfId="0">
      <alignment horizontal="center" vertical="top"/>
    </xf>
    <xf numFmtId="0" fontId="0" fillId="0" borderId="0" pivotButton="0" quotePrefix="0" xfId="0"/>
    <xf numFmtId="0" fontId="6" fillId="0" borderId="3" applyAlignment="1" pivotButton="0" quotePrefix="0" xfId="0">
      <alignment horizontal="center" vertical="top"/>
    </xf>
    <xf numFmtId="0" fontId="7" fillId="0" borderId="4" applyAlignment="1" pivotButton="0" quotePrefix="0" xfId="0">
      <alignment horizontal="center" vertical="top"/>
    </xf>
  </cellXfs>
  <cellStyles count="3">
    <cellStyle name="Normal" xfId="0" builtinId="0"/>
    <cellStyle name="Comma" xfId="1" builtinId="3"/>
    <cellStyle name="Good" xfId="2" builtinId="26"/>
  </cellStyles>
  <dxfs count="3">
    <dxf>
      <numFmt numFmtId="0" formatCode="General"/>
    </dxf>
    <dxf>
      <numFmt numFmtId="0" formatCode="General"/>
    </dxf>
    <dxf>
      <font>
        <name val="Calibri"/>
        <b val="1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indexed="64"/>
          <bgColor indexed="65"/>
        </patternFill>
      </fill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Table1" displayName="Table1" ref="A1:G54" headerRowCount="1" totalsRowShown="0" headerRowDxfId="2">
  <autoFilter ref="A1:G54"/>
  <tableColumns count="7">
    <tableColumn id="1" name="gpu_unit_name"/>
    <tableColumn id="2" name="performance" dataDxfId="1"/>
    <tableColumn id="3" name="base_tier_score">
      <calculatedColumnFormula>B2/100</calculatedColumnFormula>
    </tableColumn>
    <tableColumn id="4" name="positive_comment_code" dataDxfId="0">
      <calculatedColumnFormula>VLOOKUP(A2,$U$2:$Y$58,2,FALSE)</calculatedColumnFormula>
    </tableColumn>
    <tableColumn id="5" name="negative_comment_code"/>
    <tableColumn id="6" name="launch_msrp_usd">
      <calculatedColumnFormula>VLOOKUP(A2,$U$2:$Y$58,4,FALSE)</calculatedColumnFormula>
    </tableColumn>
    <tableColumn id="7" name="launch_msrp_bdt_current_market">
      <calculatedColumnFormula>F2*125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Y58"/>
  <sheetViews>
    <sheetView workbookViewId="0">
      <pane xSplit="1" topLeftCell="J1" activePane="topRight" state="frozen"/>
      <selection activeCell="A13" sqref="A13"/>
      <selection pane="topRight" activeCell="A18" sqref="A18"/>
    </sheetView>
  </sheetViews>
  <sheetFormatPr baseColWidth="8" defaultRowHeight="15"/>
  <cols>
    <col width="26.28515625" bestFit="1" customWidth="1" style="8" min="1" max="1"/>
    <col width="14.5703125" customWidth="1" style="8" min="2" max="2"/>
    <col width="17.140625" customWidth="1" style="8" min="3" max="3"/>
    <col width="25" customWidth="1" style="8" min="4" max="4"/>
    <col width="25.5703125" customWidth="1" style="8" min="5" max="5"/>
    <col width="18.5703125" customWidth="1" style="8" min="6" max="6"/>
    <col width="33.140625" customWidth="1" style="8" min="7" max="7"/>
    <col width="14" customWidth="1" style="8" min="15" max="15"/>
    <col width="18" customWidth="1" style="8" min="16" max="16"/>
    <col width="23.140625" bestFit="1" customWidth="1" style="8" min="21" max="21"/>
    <col width="14.85546875" customWidth="1" style="8" min="25" max="25"/>
    <col width="16.28515625" bestFit="1" customWidth="1" style="8" min="28" max="28"/>
  </cols>
  <sheetData>
    <row r="1">
      <c r="A1" s="1" t="inlineStr">
        <is>
          <t>gpu_unit_name</t>
        </is>
      </c>
      <c r="B1" s="1" t="inlineStr">
        <is>
          <t>performance</t>
        </is>
      </c>
      <c r="C1" s="2" t="inlineStr">
        <is>
          <t>base_tier_score</t>
        </is>
      </c>
      <c r="D1" s="7" t="inlineStr">
        <is>
          <t>positive_comment_code</t>
        </is>
      </c>
      <c r="E1" s="7" t="inlineStr">
        <is>
          <t>negative_comment_code</t>
        </is>
      </c>
      <c r="F1" s="7" t="inlineStr">
        <is>
          <t>launch_msrp_usd</t>
        </is>
      </c>
      <c r="G1" s="7" t="inlineStr">
        <is>
          <t>launch_msrp_bdt_current_market</t>
        </is>
      </c>
      <c r="U1" s="3" t="inlineStr">
        <is>
          <t>GPU Unit Name</t>
        </is>
      </c>
      <c r="V1" s="3" t="inlineStr">
        <is>
          <t>Positive Code</t>
        </is>
      </c>
      <c r="W1" s="3" t="inlineStr">
        <is>
          <t>Negative Code</t>
        </is>
      </c>
      <c r="X1" s="3" t="inlineStr">
        <is>
          <t>Lauch MSRP (in USD)</t>
        </is>
      </c>
      <c r="Y1" s="3" t="inlineStr">
        <is>
          <t>MSRP Adjusted for Exchange Rate (in BDT)</t>
        </is>
      </c>
    </row>
    <row r="2">
      <c r="A2" t="inlineStr">
        <is>
          <t>Intel Arc A380</t>
        </is>
      </c>
      <c r="B2" t="n">
        <v>121</v>
      </c>
      <c r="C2">
        <f>B2/100</f>
        <v/>
      </c>
      <c r="E2">
        <f>VLOOKUP($A2,$U$2:$Y$58,3,FALSE)</f>
        <v/>
      </c>
      <c r="F2">
        <f>VLOOKUP(A2,$U$2:$Y$58,4,FALSE)</f>
        <v/>
      </c>
      <c r="G2">
        <f>F2*125</f>
        <v/>
      </c>
      <c r="U2" s="4" t="inlineStr">
        <is>
          <t>Geforce GTX 1050 Ti</t>
        </is>
      </c>
      <c r="V2" s="4" t="n"/>
      <c r="W2" s="4" t="n"/>
      <c r="X2" s="4" t="n">
        <v>140</v>
      </c>
      <c r="Y2" s="5">
        <f>X2*125</f>
        <v/>
      </c>
    </row>
    <row r="3">
      <c r="A3" t="inlineStr">
        <is>
          <t>Intel Arc A750</t>
        </is>
      </c>
      <c r="B3" t="n">
        <v>281</v>
      </c>
      <c r="C3">
        <f>B3/100</f>
        <v/>
      </c>
      <c r="E3" t="inlineStr">
        <is>
          <t>arc_driver_issues</t>
        </is>
      </c>
      <c r="U3" s="4" t="inlineStr">
        <is>
          <t>Geforce GTX 1060</t>
        </is>
      </c>
      <c r="V3" s="4" t="n"/>
      <c r="W3" s="4" t="n"/>
      <c r="X3" s="4" t="n">
        <v>300</v>
      </c>
      <c r="Y3" s="5">
        <f>X3*125</f>
        <v/>
      </c>
    </row>
    <row r="4">
      <c r="A4" t="inlineStr">
        <is>
          <t>Intel Arc A770</t>
        </is>
      </c>
      <c r="B4" t="n">
        <v>301</v>
      </c>
      <c r="C4">
        <f>B4/100</f>
        <v/>
      </c>
      <c r="E4" t="inlineStr">
        <is>
          <t>arc_driver_issues</t>
        </is>
      </c>
      <c r="U4" s="4" t="inlineStr">
        <is>
          <t>Geforce GTX 1650 GDDR5</t>
        </is>
      </c>
      <c r="V4" s="4" t="inlineStr">
        <is>
          <t>low_power low_profile</t>
        </is>
      </c>
      <c r="W4" s="4" t="n"/>
      <c r="X4" s="4" t="n">
        <v>150</v>
      </c>
      <c r="Y4" s="5">
        <f>X4*125</f>
        <v/>
      </c>
    </row>
    <row r="5">
      <c r="A5" t="inlineStr">
        <is>
          <t>Geforce GTX 1050 Ti</t>
        </is>
      </c>
      <c r="B5" t="n">
        <v>100</v>
      </c>
      <c r="C5">
        <f>B5/100</f>
        <v/>
      </c>
      <c r="F5">
        <f>VLOOKUP(A5,$U$2:$Y$58,4,FALSE)</f>
        <v/>
      </c>
      <c r="G5">
        <f>F5*125</f>
        <v/>
      </c>
      <c r="U5" s="4" t="inlineStr">
        <is>
          <t>Geforce GTX 1650 GDDR6</t>
        </is>
      </c>
      <c r="V5" s="4" t="inlineStr">
        <is>
          <t>low_power low_profile</t>
        </is>
      </c>
      <c r="W5" s="4" t="n"/>
      <c r="X5" s="4" t="n">
        <v>150</v>
      </c>
      <c r="Y5" s="5">
        <f>X5*125</f>
        <v/>
      </c>
    </row>
    <row r="6">
      <c r="A6" t="inlineStr">
        <is>
          <t>Geforce GTX 1060</t>
        </is>
      </c>
      <c r="B6" t="n">
        <v>160</v>
      </c>
      <c r="C6">
        <f>B6/100</f>
        <v/>
      </c>
      <c r="F6">
        <f>VLOOKUP(A6,$U$2:$Y$58,4,FALSE)</f>
        <v/>
      </c>
      <c r="G6">
        <f>F6*125</f>
        <v/>
      </c>
      <c r="U6" s="4" t="inlineStr">
        <is>
          <t>Geforce GTX 1650 Super</t>
        </is>
      </c>
      <c r="V6" s="4" t="n"/>
      <c r="W6" s="4" t="n"/>
      <c r="X6" s="4" t="n">
        <v>160</v>
      </c>
      <c r="Y6" s="5">
        <f>X6*125</f>
        <v/>
      </c>
    </row>
    <row r="7">
      <c r="A7" t="inlineStr">
        <is>
          <t>Geforce GTX 1650 GDDR5</t>
        </is>
      </c>
      <c r="B7" t="n">
        <v>125</v>
      </c>
      <c r="C7">
        <f>B7/100</f>
        <v/>
      </c>
      <c r="D7">
        <f>VLOOKUP($A7,$U$2:$Y$58,2,FALSE)</f>
        <v/>
      </c>
      <c r="F7">
        <f>VLOOKUP(A7,$U$2:$Y$58,4,FALSE)</f>
        <v/>
      </c>
      <c r="G7">
        <f>F7*125</f>
        <v/>
      </c>
      <c r="U7" s="4" t="inlineStr">
        <is>
          <t>Geforce GTX 1660</t>
        </is>
      </c>
      <c r="V7" s="4" t="n"/>
      <c r="W7" s="4" t="n"/>
      <c r="X7" s="4" t="n">
        <v>220</v>
      </c>
      <c r="Y7" s="5">
        <f>X7*125</f>
        <v/>
      </c>
    </row>
    <row r="8">
      <c r="A8" t="inlineStr">
        <is>
          <t>Geforce GTX 1650 GDDR6</t>
        </is>
      </c>
      <c r="B8" t="n">
        <v>139</v>
      </c>
      <c r="C8">
        <f>B8/100</f>
        <v/>
      </c>
      <c r="D8">
        <f>VLOOKUP(A8,$U$2:$Y$58,2,FALSE)</f>
        <v/>
      </c>
      <c r="F8">
        <f>VLOOKUP(A8,$U$2:$Y$58,4,FALSE)</f>
        <v/>
      </c>
      <c r="G8">
        <f>F8*125</f>
        <v/>
      </c>
      <c r="U8" s="4" t="inlineStr">
        <is>
          <t>Geforce GTX 1660 Super</t>
        </is>
      </c>
      <c r="V8" s="4" t="n"/>
      <c r="W8" s="4" t="n"/>
      <c r="X8" s="4" t="n">
        <v>230</v>
      </c>
      <c r="Y8" s="5">
        <f>X8*125</f>
        <v/>
      </c>
    </row>
    <row r="9">
      <c r="A9" t="inlineStr">
        <is>
          <t>Geforce GTX 1650 Super</t>
        </is>
      </c>
      <c r="B9" t="n">
        <v>169</v>
      </c>
      <c r="C9">
        <f>B9/100</f>
        <v/>
      </c>
      <c r="F9">
        <f>VLOOKUP(A9,$U$2:$Y$58,4,FALSE)</f>
        <v/>
      </c>
      <c r="G9">
        <f>F9*125</f>
        <v/>
      </c>
      <c r="U9" s="4" t="inlineStr">
        <is>
          <t>Geforce GTX 1660 Ti</t>
        </is>
      </c>
      <c r="V9" s="4" t="n"/>
      <c r="W9" s="4" t="n"/>
      <c r="X9" s="4" t="n">
        <v>280</v>
      </c>
      <c r="Y9" s="5">
        <f>X9*125</f>
        <v/>
      </c>
    </row>
    <row r="10">
      <c r="A10" t="inlineStr">
        <is>
          <t>Geforce GTX 1660</t>
        </is>
      </c>
      <c r="B10" t="n">
        <v>187</v>
      </c>
      <c r="C10">
        <f>B10/100</f>
        <v/>
      </c>
      <c r="F10">
        <f>VLOOKUP(A10,$U$2:$Y$58,4,FALSE)</f>
        <v/>
      </c>
      <c r="G10">
        <f>F10*125</f>
        <v/>
      </c>
      <c r="U10" t="inlineStr">
        <is>
          <t>Geforce RTX 2060</t>
        </is>
      </c>
      <c r="V10" t="inlineStr">
        <is>
          <t>rt_1 dlss_2</t>
        </is>
      </c>
      <c r="X10" t="n">
        <v>300</v>
      </c>
      <c r="Y10" s="6">
        <f>X10*125</f>
        <v/>
      </c>
    </row>
    <row r="11">
      <c r="A11" t="inlineStr">
        <is>
          <t>Geforce GTX 1660 Super</t>
        </is>
      </c>
      <c r="B11" t="n">
        <v>210</v>
      </c>
      <c r="C11">
        <f>B11/100</f>
        <v/>
      </c>
      <c r="F11">
        <f>VLOOKUP(A11,$U$2:$Y$58,4,FALSE)</f>
        <v/>
      </c>
      <c r="G11">
        <f>F11*125</f>
        <v/>
      </c>
      <c r="U11" t="inlineStr">
        <is>
          <t>Geforce RTX 2060 Super</t>
        </is>
      </c>
      <c r="V11" t="inlineStr">
        <is>
          <t>rt_1 dlss_2</t>
        </is>
      </c>
      <c r="X11" t="n">
        <v>400</v>
      </c>
      <c r="Y11" s="6">
        <f>X11*125</f>
        <v/>
      </c>
    </row>
    <row r="12">
      <c r="A12" t="inlineStr">
        <is>
          <t>Geforce GTX 1660 Ti</t>
        </is>
      </c>
      <c r="B12" t="n">
        <v>215</v>
      </c>
      <c r="C12">
        <f>B12/100</f>
        <v/>
      </c>
      <c r="F12">
        <f>VLOOKUP(A12,$U$2:$Y$58,4,FALSE)</f>
        <v/>
      </c>
      <c r="G12">
        <f>F12*125</f>
        <v/>
      </c>
      <c r="U12" t="inlineStr">
        <is>
          <t xml:space="preserve">Geforce RTX 2070 </t>
        </is>
      </c>
      <c r="V12" t="inlineStr">
        <is>
          <t>rt_1 dlss_2</t>
        </is>
      </c>
      <c r="X12" t="n">
        <v>500</v>
      </c>
      <c r="Y12" s="6">
        <f>X12*125</f>
        <v/>
      </c>
    </row>
    <row r="13">
      <c r="A13" t="inlineStr">
        <is>
          <t>Geforce RTX 2060</t>
        </is>
      </c>
      <c r="B13" t="n">
        <v>253</v>
      </c>
      <c r="C13">
        <f>B13/100</f>
        <v/>
      </c>
      <c r="D13">
        <f>VLOOKUP(A13,$U$2:$Y$58,2,FALSE)</f>
        <v/>
      </c>
      <c r="F13">
        <f>VLOOKUP(A13,$U$2:$Y$58,4,FALSE)</f>
        <v/>
      </c>
      <c r="G13">
        <f>F13*125</f>
        <v/>
      </c>
      <c r="U13" t="inlineStr">
        <is>
          <t>Geforce RTX 2070 Super</t>
        </is>
      </c>
      <c r="V13" t="inlineStr">
        <is>
          <t>rt_1 dlss_2</t>
        </is>
      </c>
      <c r="X13" t="n">
        <v>500</v>
      </c>
      <c r="Y13" s="6">
        <f>X13*125</f>
        <v/>
      </c>
    </row>
    <row r="14">
      <c r="A14" t="inlineStr">
        <is>
          <t>Geforce RTX 2060 Super</t>
        </is>
      </c>
      <c r="B14" t="n">
        <v>284</v>
      </c>
      <c r="C14">
        <f>B14/100</f>
        <v/>
      </c>
      <c r="D14">
        <f>VLOOKUP(A14,$U$2:$Y$58,2,FALSE)</f>
        <v/>
      </c>
      <c r="F14">
        <f>VLOOKUP(A14,$U$2:$Y$58,4,FALSE)</f>
        <v/>
      </c>
      <c r="G14">
        <f>F14*125</f>
        <v/>
      </c>
      <c r="U14" t="inlineStr">
        <is>
          <t>Geforce RTX 2080</t>
        </is>
      </c>
      <c r="V14" t="inlineStr">
        <is>
          <t>rt_1 dlss_2</t>
        </is>
      </c>
      <c r="X14" t="n">
        <v>700</v>
      </c>
      <c r="Y14" s="6">
        <f>X14*125</f>
        <v/>
      </c>
    </row>
    <row r="15">
      <c r="A15" t="inlineStr">
        <is>
          <t>Geforce RTX 2070</t>
        </is>
      </c>
      <c r="B15" t="n">
        <v>295</v>
      </c>
      <c r="C15">
        <f>B15/100</f>
        <v/>
      </c>
      <c r="F15" t="n">
        <v>500</v>
      </c>
      <c r="G15">
        <f>F15*125</f>
        <v/>
      </c>
      <c r="U15" t="inlineStr">
        <is>
          <t>Geforce RTX 2080 Super</t>
        </is>
      </c>
      <c r="V15" t="inlineStr">
        <is>
          <t>rt_1 dlss_2</t>
        </is>
      </c>
      <c r="X15" t="n">
        <v>700</v>
      </c>
      <c r="Y15" s="6">
        <f>X15*125</f>
        <v/>
      </c>
    </row>
    <row r="16">
      <c r="A16" t="inlineStr">
        <is>
          <t>Geforce RTX 2070 Super</t>
        </is>
      </c>
      <c r="B16" t="n">
        <v>326</v>
      </c>
      <c r="C16">
        <f>B16/100</f>
        <v/>
      </c>
      <c r="D16">
        <f>VLOOKUP(A16,$U$2:$Y$58,2,FALSE)</f>
        <v/>
      </c>
      <c r="F16">
        <f>VLOOKUP(A16,$U$2:$Y$58,4,FALSE)</f>
        <v/>
      </c>
      <c r="G16">
        <f>F16*125</f>
        <v/>
      </c>
      <c r="U16" t="inlineStr">
        <is>
          <t>Geforce RTX 2080 Ti</t>
        </is>
      </c>
      <c r="V16" t="inlineStr">
        <is>
          <t>rt_1 dlss_2</t>
        </is>
      </c>
      <c r="X16" t="n">
        <v>1000</v>
      </c>
      <c r="Y16" s="6">
        <f>X16*125</f>
        <v/>
      </c>
    </row>
    <row r="17">
      <c r="A17" t="inlineStr">
        <is>
          <t>Geforce RTX 2080</t>
        </is>
      </c>
      <c r="B17" t="n">
        <v>350</v>
      </c>
      <c r="C17">
        <f>B17/100</f>
        <v/>
      </c>
      <c r="D17">
        <f>VLOOKUP(A17,$U$2:$Y$58,2,FALSE)</f>
        <v/>
      </c>
      <c r="F17">
        <f>VLOOKUP(A17,$U$2:$Y$58,4,FALSE)</f>
        <v/>
      </c>
      <c r="G17">
        <f>F17*125</f>
        <v/>
      </c>
      <c r="U17" t="inlineStr">
        <is>
          <t>Geforce RTX 3050</t>
        </is>
      </c>
      <c r="V17" t="inlineStr">
        <is>
          <t>rt_2 dlss_2</t>
        </is>
      </c>
      <c r="X17" t="n">
        <v>250</v>
      </c>
      <c r="Y17" s="6">
        <f>X17*125</f>
        <v/>
      </c>
    </row>
    <row r="18">
      <c r="A18" t="inlineStr">
        <is>
          <t>Geforce RTX 2080 Super</t>
        </is>
      </c>
      <c r="B18" t="n">
        <v>367</v>
      </c>
      <c r="C18">
        <f>B18/100</f>
        <v/>
      </c>
      <c r="D18">
        <f>VLOOKUP(A18,$U$2:$Y$58,2,FALSE)</f>
        <v/>
      </c>
      <c r="F18">
        <f>VLOOKUP(A18,$U$2:$Y$58,4,FALSE)</f>
        <v/>
      </c>
      <c r="G18">
        <f>F18*125</f>
        <v/>
      </c>
      <c r="U18" t="inlineStr">
        <is>
          <t>Geforce RTX 3060 8GB</t>
        </is>
      </c>
      <c r="V18" t="inlineStr">
        <is>
          <t>rt_2 dlss_2</t>
        </is>
      </c>
      <c r="X18" t="n">
        <v>330</v>
      </c>
      <c r="Y18" s="6">
        <f>X18*125</f>
        <v/>
      </c>
    </row>
    <row r="19">
      <c r="A19" t="inlineStr">
        <is>
          <t>Geforce RTX 2080 Ti</t>
        </is>
      </c>
      <c r="B19" t="n">
        <v>413</v>
      </c>
      <c r="C19">
        <f>B19/100</f>
        <v/>
      </c>
      <c r="D19">
        <f>VLOOKUP(A19,$U$2:$Y$58,2,FALSE)</f>
        <v/>
      </c>
      <c r="F19">
        <f>VLOOKUP(A19,$U$2:$Y$58,4,FALSE)</f>
        <v/>
      </c>
      <c r="G19">
        <f>F19*125</f>
        <v/>
      </c>
      <c r="U19" t="inlineStr">
        <is>
          <t>Geforce RTX 3060 12GB</t>
        </is>
      </c>
      <c r="V19" t="inlineStr">
        <is>
          <t>rt_2 dlss_2</t>
        </is>
      </c>
      <c r="X19" t="n">
        <v>330</v>
      </c>
      <c r="Y19" s="6">
        <f>X19*125</f>
        <v/>
      </c>
    </row>
    <row r="20">
      <c r="A20" t="inlineStr">
        <is>
          <t>Geforce RTX 3050</t>
        </is>
      </c>
      <c r="B20" t="n">
        <v>218</v>
      </c>
      <c r="C20">
        <f>B20/100</f>
        <v/>
      </c>
      <c r="D20">
        <f>VLOOKUP(A20,$U$2:$Y$58,2,FALSE)</f>
        <v/>
      </c>
      <c r="F20">
        <f>VLOOKUP(A20,$U$2:$Y$58,4,FALSE)</f>
        <v/>
      </c>
      <c r="G20">
        <f>F20*125</f>
        <v/>
      </c>
      <c r="U20" t="inlineStr">
        <is>
          <t>Geforce RTX 3060 Ti</t>
        </is>
      </c>
      <c r="V20" t="inlineStr">
        <is>
          <t>rt_2 dlss_2</t>
        </is>
      </c>
      <c r="X20" t="n">
        <v>400</v>
      </c>
      <c r="Y20" s="6">
        <f>X20*125</f>
        <v/>
      </c>
    </row>
    <row r="21">
      <c r="A21" t="inlineStr">
        <is>
          <t>Geforce RTX 3060 8GB</t>
        </is>
      </c>
      <c r="B21" t="n">
        <v>270</v>
      </c>
      <c r="C21">
        <f>B21/100</f>
        <v/>
      </c>
      <c r="D21">
        <f>VLOOKUP(A21,$U$2:$Y$58,2,FALSE)</f>
        <v/>
      </c>
      <c r="F21">
        <f>VLOOKUP(A21,$U$2:$Y$58,4,FALSE)</f>
        <v/>
      </c>
      <c r="G21">
        <f>F21*125</f>
        <v/>
      </c>
      <c r="U21" t="inlineStr">
        <is>
          <t>Geforce RTX 3070</t>
        </is>
      </c>
      <c r="V21" t="inlineStr">
        <is>
          <t>rt_2 dlss_2</t>
        </is>
      </c>
      <c r="X21" t="n">
        <v>500</v>
      </c>
      <c r="Y21" s="6">
        <f>X21*125</f>
        <v/>
      </c>
    </row>
    <row r="22">
      <c r="A22" t="inlineStr">
        <is>
          <t>Geforce RTX 3060 12GB</t>
        </is>
      </c>
      <c r="B22" t="n">
        <v>301</v>
      </c>
      <c r="C22">
        <f>B22/100</f>
        <v/>
      </c>
      <c r="D22">
        <f>VLOOKUP(A22,$U$2:$Y$58,2,FALSE)</f>
        <v/>
      </c>
      <c r="F22">
        <f>VLOOKUP(A22,$U$2:$Y$58,4,FALSE)</f>
        <v/>
      </c>
      <c r="G22">
        <f>F22*125</f>
        <v/>
      </c>
      <c r="U22" t="inlineStr">
        <is>
          <t>Geforce RTX 3070 Ti</t>
        </is>
      </c>
      <c r="V22" t="inlineStr">
        <is>
          <t>rt_2 dlss_2</t>
        </is>
      </c>
      <c r="X22" t="n">
        <v>600</v>
      </c>
      <c r="Y22" s="6">
        <f>X22*125</f>
        <v/>
      </c>
    </row>
    <row r="23">
      <c r="A23" t="inlineStr">
        <is>
          <t>Geforce RTX 3060 Ti</t>
        </is>
      </c>
      <c r="B23" t="n">
        <v>376</v>
      </c>
      <c r="C23">
        <f>B23/100</f>
        <v/>
      </c>
      <c r="D23">
        <f>VLOOKUP(A23,$U$2:$Y$58,2,FALSE)</f>
        <v/>
      </c>
      <c r="F23">
        <f>VLOOKUP(A23,$U$2:$Y$58,4,FALSE)</f>
        <v/>
      </c>
      <c r="G23">
        <f>F23*125</f>
        <v/>
      </c>
      <c r="U23" t="inlineStr">
        <is>
          <t>Geforce RTX 3080 10GB</t>
        </is>
      </c>
      <c r="V23" t="inlineStr">
        <is>
          <t>rt_2 dlss_2</t>
        </is>
      </c>
      <c r="X23" t="n">
        <v>700</v>
      </c>
      <c r="Y23" s="6">
        <f>X23*125</f>
        <v/>
      </c>
    </row>
    <row r="24">
      <c r="A24" t="inlineStr">
        <is>
          <t>Geforce RTX 3070</t>
        </is>
      </c>
      <c r="B24" t="n">
        <v>441</v>
      </c>
      <c r="C24">
        <f>B24/100</f>
        <v/>
      </c>
      <c r="D24">
        <f>VLOOKUP(A24,$U$2:$Y$58,2,FALSE)</f>
        <v/>
      </c>
      <c r="F24">
        <f>VLOOKUP(A24,$U$2:$Y$58,4,FALSE)</f>
        <v/>
      </c>
      <c r="G24">
        <f>F24*125</f>
        <v/>
      </c>
      <c r="U24" t="inlineStr">
        <is>
          <t>Geforce RTX 3080 12GB</t>
        </is>
      </c>
      <c r="V24" t="inlineStr">
        <is>
          <t>rt_2 dlss_2</t>
        </is>
      </c>
      <c r="X24" t="n">
        <v>800</v>
      </c>
      <c r="Y24" s="6">
        <f>X24*125</f>
        <v/>
      </c>
    </row>
    <row r="25">
      <c r="A25" t="inlineStr">
        <is>
          <t>Geforce RTX 3070 Ti</t>
        </is>
      </c>
      <c r="B25" t="n">
        <v>472</v>
      </c>
      <c r="C25">
        <f>B25/100</f>
        <v/>
      </c>
      <c r="D25">
        <f>VLOOKUP(A25,$U$2:$Y$58,2,FALSE)</f>
        <v/>
      </c>
      <c r="F25">
        <f>VLOOKUP(A25,$U$2:$Y$58,4,FALSE)</f>
        <v/>
      </c>
      <c r="G25">
        <f>F25*125</f>
        <v/>
      </c>
      <c r="U25" t="inlineStr">
        <is>
          <t>Geforce RTX 3080 Ti</t>
        </is>
      </c>
      <c r="V25" t="inlineStr">
        <is>
          <t>rt_2 dlss_2</t>
        </is>
      </c>
      <c r="X25" t="n">
        <v>1200</v>
      </c>
      <c r="Y25" s="6">
        <f>X25*125</f>
        <v/>
      </c>
    </row>
    <row r="26">
      <c r="A26" t="inlineStr">
        <is>
          <t>Geforce RTX 3080 10GB</t>
        </is>
      </c>
      <c r="B26" t="n">
        <v>546</v>
      </c>
      <c r="C26">
        <f>B26/100</f>
        <v/>
      </c>
      <c r="D26">
        <f>VLOOKUP(A26,$U$2:$Y$58,2,FALSE)</f>
        <v/>
      </c>
      <c r="F26">
        <f>VLOOKUP(A26,$U$2:$Y$58,4,FALSE)</f>
        <v/>
      </c>
      <c r="G26">
        <f>F26*125</f>
        <v/>
      </c>
      <c r="U26" t="inlineStr">
        <is>
          <t>Geforce RTX 3090</t>
        </is>
      </c>
      <c r="V26" t="inlineStr">
        <is>
          <t>rt_2 dlss_2</t>
        </is>
      </c>
      <c r="X26" t="n">
        <v>1500</v>
      </c>
      <c r="Y26" s="6">
        <f>X26*125</f>
        <v/>
      </c>
    </row>
    <row r="27">
      <c r="A27" t="inlineStr">
        <is>
          <t>Geforce RTX 3080 12GB</t>
        </is>
      </c>
      <c r="B27" t="n">
        <v>573</v>
      </c>
      <c r="C27">
        <f>B27/100</f>
        <v/>
      </c>
      <c r="D27">
        <f>VLOOKUP(A27,$U$2:$Y$58,2,FALSE)</f>
        <v/>
      </c>
      <c r="F27">
        <f>VLOOKUP(A27,$U$2:$Y$58,4,FALSE)</f>
        <v/>
      </c>
      <c r="G27">
        <f>F27*125</f>
        <v/>
      </c>
      <c r="U27" t="inlineStr">
        <is>
          <t>Geforce RTX 3090 Ti</t>
        </is>
      </c>
      <c r="V27" t="inlineStr">
        <is>
          <t>rt_2 dlss_2</t>
        </is>
      </c>
      <c r="X27" t="n">
        <v>2000</v>
      </c>
      <c r="Y27" s="6">
        <f>X27*125</f>
        <v/>
      </c>
    </row>
    <row r="28">
      <c r="A28" t="inlineStr">
        <is>
          <t>Geforce RTX 3080 Ti</t>
        </is>
      </c>
      <c r="B28" t="n">
        <v>642</v>
      </c>
      <c r="C28">
        <f>B28/100</f>
        <v/>
      </c>
      <c r="D28">
        <f>VLOOKUP(A28,$U$2:$Y$58,2,FALSE)</f>
        <v/>
      </c>
      <c r="F28">
        <f>VLOOKUP(A28,$U$2:$Y$58,4,FALSE)</f>
        <v/>
      </c>
      <c r="G28">
        <f>F28*125</f>
        <v/>
      </c>
      <c r="U28" t="inlineStr">
        <is>
          <t>Geforce RTX 4070 Ti</t>
        </is>
      </c>
      <c r="V28" t="inlineStr">
        <is>
          <t>rt_3 dlss_2 dlss_3</t>
        </is>
      </c>
      <c r="X28" t="n">
        <v>800</v>
      </c>
      <c r="Y28" s="6">
        <f>X28*125</f>
        <v/>
      </c>
    </row>
    <row r="29">
      <c r="A29" t="inlineStr">
        <is>
          <t>Geforce RTX 3090</t>
        </is>
      </c>
      <c r="B29" t="n">
        <v>648</v>
      </c>
      <c r="C29">
        <f>B29/100</f>
        <v/>
      </c>
      <c r="D29">
        <f>VLOOKUP(A29,$U$2:$Y$58,2,FALSE)</f>
        <v/>
      </c>
      <c r="E29" t="inlineStr">
        <is>
          <t>monster_size</t>
        </is>
      </c>
      <c r="F29">
        <f>VLOOKUP(A29,$U$2:$Y$58,4,FALSE)</f>
        <v/>
      </c>
      <c r="G29">
        <f>F29*125</f>
        <v/>
      </c>
      <c r="U29" t="inlineStr">
        <is>
          <t>Geforce RTX 4080</t>
        </is>
      </c>
      <c r="V29" t="inlineStr">
        <is>
          <t>rt_3 dlss_2 dlss_3</t>
        </is>
      </c>
      <c r="X29" t="n">
        <v>1200</v>
      </c>
      <c r="Y29" s="6">
        <f>X29*125</f>
        <v/>
      </c>
    </row>
    <row r="30">
      <c r="A30" t="inlineStr">
        <is>
          <t>Geforce RTX 3090 Ti</t>
        </is>
      </c>
      <c r="B30" t="n">
        <v>700</v>
      </c>
      <c r="C30">
        <f>B30/100</f>
        <v/>
      </c>
      <c r="D30">
        <f>VLOOKUP(A30,$U$2:$Y$58,2,FALSE)</f>
        <v/>
      </c>
      <c r="E30" t="inlineStr">
        <is>
          <t>monster_size</t>
        </is>
      </c>
      <c r="F30">
        <f>VLOOKUP(A30,$U$2:$Y$58,4,FALSE)</f>
        <v/>
      </c>
      <c r="G30">
        <f>F30*125</f>
        <v/>
      </c>
      <c r="U30" t="inlineStr">
        <is>
          <t>Geforce RTX 4090</t>
        </is>
      </c>
      <c r="V30" t="inlineStr">
        <is>
          <t>rt_3 dlss_2 dlss_3</t>
        </is>
      </c>
      <c r="X30" t="n">
        <v>1600</v>
      </c>
      <c r="Y30" s="6">
        <f>X30*125</f>
        <v/>
      </c>
    </row>
    <row r="31">
      <c r="A31" t="inlineStr">
        <is>
          <t>Geforce RTX 4080</t>
        </is>
      </c>
      <c r="B31" t="n">
        <v>811</v>
      </c>
      <c r="C31">
        <f>B31/100</f>
        <v/>
      </c>
      <c r="D31">
        <f>VLOOKUP(A31,$U$2:$Y$58,2,FALSE)</f>
        <v/>
      </c>
      <c r="E31" t="inlineStr">
        <is>
          <t>monster_size</t>
        </is>
      </c>
      <c r="F31">
        <f>VLOOKUP(A31,$U$2:$Y$58,4,FALSE)</f>
        <v/>
      </c>
      <c r="G31">
        <f>F31*125</f>
        <v/>
      </c>
      <c r="U31" s="4" t="inlineStr">
        <is>
          <t>Radeon RX 570</t>
        </is>
      </c>
      <c r="V31" s="4" t="n"/>
      <c r="W31" s="4" t="n"/>
      <c r="X31" s="4" t="n">
        <v>170</v>
      </c>
      <c r="Y31" s="5">
        <f>X31*125</f>
        <v/>
      </c>
    </row>
    <row r="32">
      <c r="A32" t="inlineStr">
        <is>
          <t>Geforce RTX 4090</t>
        </is>
      </c>
      <c r="B32" t="n">
        <v>1014</v>
      </c>
      <c r="C32">
        <f>B32/100</f>
        <v/>
      </c>
      <c r="D32">
        <f>VLOOKUP(A32,$U$2:$Y$58,2,FALSE)</f>
        <v/>
      </c>
      <c r="E32" t="inlineStr">
        <is>
          <t>monster_size</t>
        </is>
      </c>
      <c r="F32">
        <f>VLOOKUP(A32,$U$2:$Y$58,4,FALSE)</f>
        <v/>
      </c>
      <c r="G32">
        <f>F32*125</f>
        <v/>
      </c>
      <c r="U32" s="4" t="inlineStr">
        <is>
          <t>Radeon RX 580</t>
        </is>
      </c>
      <c r="V32" s="4" t="n"/>
      <c r="W32" s="4" t="n"/>
      <c r="X32" s="4" t="n">
        <v>230</v>
      </c>
      <c r="Y32" s="5">
        <f>X32*125</f>
        <v/>
      </c>
    </row>
    <row r="33">
      <c r="A33" t="inlineStr">
        <is>
          <t>Geforce RTX 4070 Ti</t>
        </is>
      </c>
      <c r="B33" t="n">
        <v>668</v>
      </c>
      <c r="C33">
        <f>B33/100</f>
        <v/>
      </c>
      <c r="D33">
        <f>VLOOKUP(A33,$U$2:$Y$58,2,FALSE)</f>
        <v/>
      </c>
      <c r="F33">
        <f>VLOOKUP(A33,$U$2:$Y$58,4,FALSE)</f>
        <v/>
      </c>
      <c r="G33">
        <f>F33*125</f>
        <v/>
      </c>
      <c r="U33" s="4" t="inlineStr">
        <is>
          <t>Radeon RX 590</t>
        </is>
      </c>
      <c r="V33" s="4" t="n"/>
      <c r="W33" s="4" t="n"/>
      <c r="X33" s="4" t="n">
        <v>280</v>
      </c>
      <c r="Y33" s="5">
        <f>X33*125</f>
        <v/>
      </c>
    </row>
    <row r="34">
      <c r="A34" t="inlineStr">
        <is>
          <t>Radeon RX 5500 OEM</t>
        </is>
      </c>
      <c r="B34" t="n">
        <v>162</v>
      </c>
      <c r="C34">
        <f>B34/100</f>
        <v/>
      </c>
      <c r="U34" t="inlineStr">
        <is>
          <t>Radeon RX 5500 OEM</t>
        </is>
      </c>
      <c r="Y34" s="6" t="n"/>
    </row>
    <row r="35">
      <c r="A35" t="inlineStr">
        <is>
          <t>Radeon RX 5500 XT 4GB</t>
        </is>
      </c>
      <c r="B35" t="n">
        <v>142</v>
      </c>
      <c r="C35">
        <f>B35/100</f>
        <v/>
      </c>
      <c r="F35">
        <f>VLOOKUP(A35,$U$2:$Y$58,4,FALSE)</f>
        <v/>
      </c>
      <c r="G35">
        <f>F35*125</f>
        <v/>
      </c>
      <c r="U35" t="inlineStr">
        <is>
          <t>Radeon RX 5500 XT 4GB</t>
        </is>
      </c>
      <c r="X35" t="n">
        <v>170</v>
      </c>
      <c r="Y35" s="6">
        <f>X35*125</f>
        <v/>
      </c>
    </row>
    <row r="36">
      <c r="A36" t="inlineStr">
        <is>
          <t>Radeon RX 5500 XT 8GB</t>
        </is>
      </c>
      <c r="B36" t="n">
        <v>165</v>
      </c>
      <c r="C36">
        <f>B36/100</f>
        <v/>
      </c>
      <c r="F36">
        <f>VLOOKUP(A36,$U$2:$Y$58,4,FALSE)</f>
        <v/>
      </c>
      <c r="G36">
        <f>F36*125</f>
        <v/>
      </c>
      <c r="U36" t="inlineStr">
        <is>
          <t>Radeon RX 5500 XT 8GB</t>
        </is>
      </c>
      <c r="X36" t="n">
        <v>200</v>
      </c>
      <c r="Y36" s="6">
        <f>X36*125</f>
        <v/>
      </c>
    </row>
    <row r="37">
      <c r="A37" t="inlineStr">
        <is>
          <t>Radeon RX 5600 XT</t>
        </is>
      </c>
      <c r="B37" t="n">
        <v>246</v>
      </c>
      <c r="C37">
        <f>B37/100</f>
        <v/>
      </c>
      <c r="F37">
        <f>VLOOKUP(A37,$U$2:$Y$58,4,FALSE)</f>
        <v/>
      </c>
      <c r="G37">
        <f>F37*125</f>
        <v/>
      </c>
      <c r="U37" t="inlineStr">
        <is>
          <t>Radeon RX 5600</t>
        </is>
      </c>
      <c r="Y37" s="6" t="n"/>
    </row>
    <row r="38">
      <c r="A38" t="inlineStr">
        <is>
          <t>Radeon RX 570</t>
        </is>
      </c>
      <c r="B38" t="n">
        <v>142</v>
      </c>
      <c r="C38">
        <f>B38/100</f>
        <v/>
      </c>
      <c r="F38">
        <f>VLOOKUP(A38,$U$2:$Y$58,4,FALSE)</f>
        <v/>
      </c>
      <c r="G38">
        <f>F38*125</f>
        <v/>
      </c>
      <c r="U38" t="inlineStr">
        <is>
          <t>Radeon RX 5600 XT</t>
        </is>
      </c>
      <c r="X38" t="n">
        <v>280</v>
      </c>
      <c r="Y38" s="6">
        <f>X38*125</f>
        <v/>
      </c>
    </row>
    <row r="39">
      <c r="A39" t="inlineStr">
        <is>
          <t>Radeon RX 5700</t>
        </is>
      </c>
      <c r="B39" t="n">
        <v>263</v>
      </c>
      <c r="C39">
        <f>B39/100</f>
        <v/>
      </c>
      <c r="F39">
        <f>VLOOKUP(A39,$U$2:$Y$58,4,FALSE)</f>
        <v/>
      </c>
      <c r="G39">
        <f>F39*125</f>
        <v/>
      </c>
      <c r="U39" t="inlineStr">
        <is>
          <t>Radeon RX 5700</t>
        </is>
      </c>
      <c r="X39" t="n">
        <v>350</v>
      </c>
      <c r="Y39" s="6">
        <f>X39*125</f>
        <v/>
      </c>
    </row>
    <row r="40">
      <c r="A40" t="inlineStr">
        <is>
          <t>Radeon RX 5700 XT</t>
        </is>
      </c>
      <c r="B40" t="n">
        <v>302</v>
      </c>
      <c r="C40">
        <f>B40/100</f>
        <v/>
      </c>
      <c r="F40">
        <f>VLOOKUP(A40,$U$2:$Y$58,4,FALSE)</f>
        <v/>
      </c>
      <c r="G40">
        <f>F40*125</f>
        <v/>
      </c>
      <c r="U40" t="inlineStr">
        <is>
          <t>Radeon RX 5700 XT</t>
        </is>
      </c>
      <c r="X40" t="n">
        <v>400</v>
      </c>
      <c r="Y40" s="6">
        <f>X40*125</f>
        <v/>
      </c>
    </row>
    <row r="41">
      <c r="A41" t="inlineStr">
        <is>
          <t>Radeon RX 580</t>
        </is>
      </c>
      <c r="B41" t="n">
        <v>164</v>
      </c>
      <c r="C41">
        <f>B41/100</f>
        <v/>
      </c>
      <c r="F41">
        <f>VLOOKUP(A41,$U$2:$Y$58,4,FALSE)</f>
        <v/>
      </c>
      <c r="G41">
        <f>F41*125</f>
        <v/>
      </c>
      <c r="U41" t="inlineStr">
        <is>
          <t xml:space="preserve">Radeon RX 6600 </t>
        </is>
      </c>
      <c r="V41" t="inlineStr">
        <is>
          <t xml:space="preserve">rt_1  </t>
        </is>
      </c>
      <c r="X41" t="n">
        <v>330</v>
      </c>
      <c r="Y41" s="6">
        <f>X41*125</f>
        <v/>
      </c>
    </row>
    <row r="42">
      <c r="A42" t="inlineStr">
        <is>
          <t>Radeon RX 590</t>
        </is>
      </c>
      <c r="B42" t="n">
        <v>177</v>
      </c>
      <c r="C42">
        <f>B42/100</f>
        <v/>
      </c>
      <c r="F42">
        <f>VLOOKUP(A42,$U$2:$Y$58,4,FALSE)</f>
        <v/>
      </c>
      <c r="G42">
        <f>F42*125</f>
        <v/>
      </c>
      <c r="U42" t="inlineStr">
        <is>
          <t>Radeon RX 6600 XT</t>
        </is>
      </c>
      <c r="V42" t="inlineStr">
        <is>
          <t xml:space="preserve">rt_1  </t>
        </is>
      </c>
      <c r="X42" t="n">
        <v>380</v>
      </c>
      <c r="Y42" s="6">
        <f>X42*125</f>
        <v/>
      </c>
    </row>
    <row r="43">
      <c r="A43" t="inlineStr">
        <is>
          <t>Radeon RX 6600</t>
        </is>
      </c>
      <c r="B43" t="n">
        <v>282</v>
      </c>
      <c r="C43">
        <f>B43/100</f>
        <v/>
      </c>
      <c r="D43" t="inlineStr">
        <is>
          <t>rt_1</t>
        </is>
      </c>
      <c r="F43" t="n">
        <v>330</v>
      </c>
      <c r="G43">
        <f>F43*125</f>
        <v/>
      </c>
      <c r="U43" t="inlineStr">
        <is>
          <t>Radeon RX 6650 XT</t>
        </is>
      </c>
      <c r="V43" t="inlineStr">
        <is>
          <t xml:space="preserve">rt_1  </t>
        </is>
      </c>
      <c r="X43" t="n">
        <v>400</v>
      </c>
      <c r="Y43" s="6">
        <f>X43*125</f>
        <v/>
      </c>
    </row>
    <row r="44">
      <c r="A44" t="inlineStr">
        <is>
          <t>Radeon RX 6600 XT</t>
        </is>
      </c>
      <c r="B44" t="n">
        <v>336</v>
      </c>
      <c r="C44">
        <f>B44/100</f>
        <v/>
      </c>
      <c r="D44">
        <f>VLOOKUP(A44,$U$2:$Y$58,2,FALSE)</f>
        <v/>
      </c>
      <c r="F44">
        <f>VLOOKUP(A44,$U$2:$Y$58,4,FALSE)</f>
        <v/>
      </c>
      <c r="G44">
        <f>F44*125</f>
        <v/>
      </c>
      <c r="U44" t="inlineStr">
        <is>
          <t>Radeon RX 6700</t>
        </is>
      </c>
      <c r="Y44" s="6" t="n"/>
    </row>
    <row r="45">
      <c r="A45" t="inlineStr">
        <is>
          <t>Radeon RX 6650 XT</t>
        </is>
      </c>
      <c r="B45" t="n">
        <v>343</v>
      </c>
      <c r="C45">
        <f>B45/100</f>
        <v/>
      </c>
      <c r="D45">
        <f>VLOOKUP(A45,$U$2:$Y$58,2,FALSE)</f>
        <v/>
      </c>
      <c r="F45">
        <f>VLOOKUP(A45,$U$2:$Y$58,4,FALSE)</f>
        <v/>
      </c>
      <c r="G45">
        <f>F45*125</f>
        <v/>
      </c>
      <c r="U45" t="inlineStr">
        <is>
          <t>Radeon RX 6700 XT</t>
        </is>
      </c>
      <c r="V45" t="inlineStr">
        <is>
          <t xml:space="preserve">rt_1  </t>
        </is>
      </c>
      <c r="X45" t="n">
        <v>480</v>
      </c>
      <c r="Y45" s="6">
        <f>X45*125</f>
        <v/>
      </c>
    </row>
    <row r="46">
      <c r="A46" t="inlineStr">
        <is>
          <t>Radeon RX 6700 XT</t>
        </is>
      </c>
      <c r="B46" t="n">
        <v>383</v>
      </c>
      <c r="C46">
        <f>B46/100</f>
        <v/>
      </c>
      <c r="D46">
        <f>VLOOKUP(A46,$U$2:$Y$58,2,FALSE)</f>
        <v/>
      </c>
      <c r="F46">
        <f>VLOOKUP(A46,$U$2:$Y$58,4,FALSE)</f>
        <v/>
      </c>
      <c r="G46">
        <f>F46*125</f>
        <v/>
      </c>
      <c r="U46" t="inlineStr">
        <is>
          <t>Radeon RX 6750 XT</t>
        </is>
      </c>
      <c r="V46" t="inlineStr">
        <is>
          <t xml:space="preserve">rt_1  </t>
        </is>
      </c>
      <c r="X46" t="n">
        <v>550</v>
      </c>
      <c r="Y46" s="6">
        <f>X46*125</f>
        <v/>
      </c>
    </row>
    <row r="47">
      <c r="A47" t="inlineStr">
        <is>
          <t>Radeon RX 6750 XT</t>
        </is>
      </c>
      <c r="B47" t="n">
        <v>414</v>
      </c>
      <c r="C47">
        <f>B47/100</f>
        <v/>
      </c>
      <c r="D47">
        <f>VLOOKUP(A47,$U$2:$Y$58,2,FALSE)</f>
        <v/>
      </c>
      <c r="F47">
        <f>VLOOKUP(A47,$U$2:$Y$58,4,FALSE)</f>
        <v/>
      </c>
      <c r="G47">
        <f>F47*125</f>
        <v/>
      </c>
      <c r="U47" t="inlineStr">
        <is>
          <t>Radeon RX 6800</t>
        </is>
      </c>
      <c r="V47" t="inlineStr">
        <is>
          <t xml:space="preserve">rt_1  </t>
        </is>
      </c>
      <c r="X47" t="n">
        <v>580</v>
      </c>
      <c r="Y47" s="6">
        <f>X47*125</f>
        <v/>
      </c>
    </row>
    <row r="48">
      <c r="A48" t="inlineStr">
        <is>
          <t>Radeon RX 6800</t>
        </is>
      </c>
      <c r="B48" t="n">
        <v>486</v>
      </c>
      <c r="C48">
        <f>B48/100</f>
        <v/>
      </c>
      <c r="D48">
        <f>VLOOKUP(A48,$U$2:$Y$58,2,FALSE)</f>
        <v/>
      </c>
      <c r="F48">
        <f>VLOOKUP(A48,$U$2:$Y$58,4,FALSE)</f>
        <v/>
      </c>
      <c r="G48">
        <f>F48*125</f>
        <v/>
      </c>
      <c r="U48" t="inlineStr">
        <is>
          <t>Radeon RX 6800 XT</t>
        </is>
      </c>
      <c r="V48" t="inlineStr">
        <is>
          <t xml:space="preserve">rt_1  </t>
        </is>
      </c>
      <c r="X48" t="n">
        <v>650</v>
      </c>
      <c r="Y48" s="6">
        <f>X48*125</f>
        <v/>
      </c>
    </row>
    <row r="49">
      <c r="A49" t="inlineStr">
        <is>
          <t>Radeon RX 6800 XT</t>
        </is>
      </c>
      <c r="B49" t="n">
        <v>558</v>
      </c>
      <c r="C49">
        <f>B49/100</f>
        <v/>
      </c>
      <c r="D49">
        <f>VLOOKUP(A49,$U$2:$Y$58,2,FALSE)</f>
        <v/>
      </c>
      <c r="F49">
        <f>VLOOKUP(A49,$U$2:$Y$58,4,FALSE)</f>
        <v/>
      </c>
      <c r="G49">
        <f>F49*125</f>
        <v/>
      </c>
      <c r="U49" t="inlineStr">
        <is>
          <t>Radeon RX 6900 XT</t>
        </is>
      </c>
      <c r="V49" t="inlineStr">
        <is>
          <t xml:space="preserve">rt_1  </t>
        </is>
      </c>
      <c r="X49" t="n">
        <v>1000</v>
      </c>
      <c r="Y49" s="6">
        <f>X49*125</f>
        <v/>
      </c>
    </row>
    <row r="50">
      <c r="A50" t="inlineStr">
        <is>
          <t>Radeon RX 6900 XT</t>
        </is>
      </c>
      <c r="B50" t="n">
        <v>606</v>
      </c>
      <c r="C50">
        <f>B50/100</f>
        <v/>
      </c>
      <c r="D50">
        <f>VLOOKUP(A50,$U$2:$Y$58,2,FALSE)</f>
        <v/>
      </c>
      <c r="F50">
        <f>VLOOKUP(A50,$U$2:$Y$58,4,FALSE)</f>
        <v/>
      </c>
      <c r="G50">
        <f>F50*125</f>
        <v/>
      </c>
      <c r="U50" t="inlineStr">
        <is>
          <t>Radeon RX 6950 XT</t>
        </is>
      </c>
      <c r="V50" t="inlineStr">
        <is>
          <t xml:space="preserve">rt_1  </t>
        </is>
      </c>
      <c r="X50" t="n">
        <v>1100</v>
      </c>
      <c r="Y50" s="6">
        <f>X50*125</f>
        <v/>
      </c>
    </row>
    <row r="51">
      <c r="A51" t="inlineStr">
        <is>
          <t>Radeon RX 6950 XT</t>
        </is>
      </c>
      <c r="B51" t="n">
        <v>643</v>
      </c>
      <c r="C51">
        <f>B51/100</f>
        <v/>
      </c>
      <c r="D51">
        <f>VLOOKUP(A51,$U$2:$Y$58,2,FALSE)</f>
        <v/>
      </c>
      <c r="F51">
        <f>VLOOKUP(A51,$U$2:$Y$58,4,FALSE)</f>
        <v/>
      </c>
      <c r="G51">
        <f>F51*125</f>
        <v/>
      </c>
      <c r="U51" t="inlineStr">
        <is>
          <t>Radeon RX 7900 XT</t>
        </is>
      </c>
      <c r="V51" t="inlineStr">
        <is>
          <t xml:space="preserve">rt_2  </t>
        </is>
      </c>
      <c r="X51" t="n">
        <v>900</v>
      </c>
      <c r="Y51" s="6">
        <f>X51*125</f>
        <v/>
      </c>
    </row>
    <row r="52">
      <c r="A52" t="inlineStr">
        <is>
          <t>Radeon RX 7900 XT</t>
        </is>
      </c>
      <c r="B52" t="n">
        <v>706</v>
      </c>
      <c r="C52">
        <f>B52/100</f>
        <v/>
      </c>
      <c r="D52">
        <f>VLOOKUP(A52,$U$2:$Y$58,2,FALSE)</f>
        <v/>
      </c>
      <c r="E52" t="inlineStr">
        <is>
          <t>radeon_high_temp</t>
        </is>
      </c>
      <c r="F52">
        <f>VLOOKUP(A52,$U$2:$Y$58,4,FALSE)</f>
        <v/>
      </c>
      <c r="G52">
        <f>F52*125</f>
        <v/>
      </c>
      <c r="U52" t="inlineStr">
        <is>
          <t>Radeon RX 7900 XTX</t>
        </is>
      </c>
      <c r="V52" t="inlineStr">
        <is>
          <t xml:space="preserve">rt_2  </t>
        </is>
      </c>
      <c r="X52" t="n">
        <v>1000</v>
      </c>
      <c r="Y52" s="6">
        <f>X52*125</f>
        <v/>
      </c>
    </row>
    <row r="53">
      <c r="A53" t="inlineStr">
        <is>
          <t>Radeon RX 7900 XTX</t>
        </is>
      </c>
      <c r="B53" t="n">
        <v>844</v>
      </c>
      <c r="C53">
        <f>B53/100</f>
        <v/>
      </c>
      <c r="D53">
        <f>VLOOKUP(A53,$U$2:$Y$58,2,FALSE)</f>
        <v/>
      </c>
      <c r="E53" t="inlineStr">
        <is>
          <t>radeon_high_temp</t>
        </is>
      </c>
      <c r="F53">
        <f>VLOOKUP(A53,$U$2:$Y$58,4,FALSE)</f>
        <v/>
      </c>
      <c r="G53">
        <f>F53*125</f>
        <v/>
      </c>
      <c r="U53" t="inlineStr">
        <is>
          <t>Intel Arc A310</t>
        </is>
      </c>
    </row>
    <row r="54">
      <c r="A54" t="inlineStr">
        <is>
          <t>Radeon RX 6500 XT</t>
        </is>
      </c>
      <c r="B54" t="n">
        <v>166</v>
      </c>
      <c r="C54">
        <f>B54/100</f>
        <v/>
      </c>
      <c r="D54" t="inlineStr">
        <is>
          <t>rt_1</t>
        </is>
      </c>
      <c r="E54" t="inlineStr">
        <is>
          <t>rx_6500_xt_problems</t>
        </is>
      </c>
      <c r="F54" t="n">
        <v>200</v>
      </c>
      <c r="G54">
        <f>F54*125</f>
        <v/>
      </c>
      <c r="U54" t="inlineStr">
        <is>
          <t>Intel Arc A380</t>
        </is>
      </c>
      <c r="W54" t="inlineStr">
        <is>
          <t>arc_driver_issues</t>
        </is>
      </c>
      <c r="X54" t="n">
        <v>140</v>
      </c>
      <c r="Y54" s="6">
        <f>X54*125</f>
        <v/>
      </c>
    </row>
    <row r="55">
      <c r="U55" t="inlineStr">
        <is>
          <t>Intel Arc A580</t>
        </is>
      </c>
    </row>
    <row r="56">
      <c r="U56" t="inlineStr">
        <is>
          <t>Intel Arc A750</t>
        </is>
      </c>
    </row>
    <row r="57">
      <c r="U57" t="inlineStr">
        <is>
          <t>Intel Arc A770 (8 GB)</t>
        </is>
      </c>
    </row>
    <row r="58">
      <c r="U58" t="inlineStr">
        <is>
          <t>Intel Arc A770 (16 GB)</t>
        </is>
      </c>
    </row>
  </sheetData>
  <pageMargins left="0.75" right="0.75" top="1" bottom="1" header="0.5" footer="0.5"/>
  <pageSetup orientation="portrait" paperSize="9"/>
  <tableParts count="1">
    <tablePart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B17" sqref="B17"/>
    </sheetView>
  </sheetViews>
  <sheetFormatPr baseColWidth="8" defaultRowHeight="15"/>
  <cols>
    <col width="16.42578125" bestFit="1" customWidth="1" style="8" min="1" max="1"/>
    <col width="96" customWidth="1" style="8" min="2" max="2"/>
    <col width="5.7109375" bestFit="1" customWidth="1" style="8" min="3" max="3"/>
  </cols>
  <sheetData>
    <row r="1">
      <c r="A1" s="3" t="inlineStr">
        <is>
          <t>comment_code</t>
        </is>
      </c>
      <c r="B1" s="3" t="inlineStr">
        <is>
          <t>comment_desc</t>
        </is>
      </c>
      <c r="C1" s="3" t="inlineStr">
        <is>
          <t>score</t>
        </is>
      </c>
    </row>
    <row r="2">
      <c r="A2" t="inlineStr">
        <is>
          <t>rt_1</t>
        </is>
      </c>
      <c r="B2" t="inlineStr">
        <is>
          <t>1st generation ray tracing capabilities or equivalent/limited ray tracing capabilities</t>
        </is>
      </c>
      <c r="C2" t="n">
        <v>5</v>
      </c>
    </row>
    <row r="3">
      <c r="A3" t="inlineStr">
        <is>
          <t>rt_2</t>
        </is>
      </c>
      <c r="B3" t="inlineStr">
        <is>
          <t>2nd generation ray tracing capabilities or equivalent</t>
        </is>
      </c>
      <c r="C3" t="n">
        <v>10</v>
      </c>
    </row>
    <row r="4">
      <c r="A4" t="inlineStr">
        <is>
          <t>rt_3</t>
        </is>
      </c>
      <c r="B4" t="inlineStr">
        <is>
          <t>3rd generation ray tracing capabilities or equivalent</t>
        </is>
      </c>
      <c r="C4" t="n">
        <v>15</v>
      </c>
    </row>
    <row r="5">
      <c r="A5" t="inlineStr">
        <is>
          <t>dlss_2</t>
        </is>
      </c>
      <c r="B5" t="inlineStr">
        <is>
          <t>supports Nvidia's DLSS (Deep Learning Super Sampling) 2 upscaling technology, increasing FPS in supported games</t>
        </is>
      </c>
      <c r="C5" t="n">
        <v>7</v>
      </c>
    </row>
    <row r="6">
      <c r="A6" t="inlineStr">
        <is>
          <t>dlss_3</t>
        </is>
      </c>
      <c r="B6" t="inlineStr">
        <is>
          <t>supports Nvidia's DLSS (Deep Learning Super Sampling) 3.0 upscaling technology, currently the technology can potentially noticably degrade visual quality, and increase input latency unlike DLSS 2</t>
        </is>
      </c>
      <c r="C6" t="n">
        <v>0</v>
      </c>
    </row>
    <row r="7">
      <c r="A7" t="inlineStr">
        <is>
          <t>low_power</t>
        </is>
      </c>
      <c r="B7" t="inlineStr">
        <is>
          <t>low power consumption (just 75 watts), no need for external power connection</t>
        </is>
      </c>
      <c r="C7" t="n">
        <v>5</v>
      </c>
    </row>
    <row r="8">
      <c r="A8" t="inlineStr">
        <is>
          <t>arc_driver_issues</t>
        </is>
      </c>
      <c r="B8" t="inlineStr">
        <is>
          <t>currently Intel Arc GPU drivers have several issues affecting performance and stability</t>
        </is>
      </c>
      <c r="C8" t="n">
        <v>-10</v>
      </c>
    </row>
    <row r="9">
      <c r="A9" t="inlineStr">
        <is>
          <t>radeon_high_temp</t>
        </is>
      </c>
      <c r="B9" t="inlineStr">
        <is>
          <t>some of the Radeon RX 7900 XT and 7900 XTX currently having high junction temperature issues; AMD has acknowledged them and replace them under warranty</t>
        </is>
      </c>
      <c r="C9" t="n">
        <v>-5</v>
      </c>
    </row>
    <row r="10">
      <c r="A10" t="inlineStr">
        <is>
          <t>low_profile</t>
        </is>
      </c>
      <c r="B10" t="inlineStr">
        <is>
          <t>low profile graphics card, should fit a mini-ITX case easily</t>
        </is>
      </c>
      <c r="C10" t="n">
        <v>0</v>
      </c>
    </row>
    <row r="11">
      <c r="A11" t="inlineStr">
        <is>
          <t>monster_size</t>
        </is>
      </c>
      <c r="B11" t="inlineStr">
        <is>
          <t>graphics card is very large and may require a case upgrade (over 300 mm in length and/or 60 mm in height)</t>
        </is>
      </c>
      <c r="C11" t="n">
        <v>-5</v>
      </c>
    </row>
    <row r="12">
      <c r="A12" t="inlineStr">
        <is>
          <t>radeon_high_idle_power</t>
        </is>
      </c>
      <c r="B12" t="inlineStr">
        <is>
          <t>when connecting to high resolution and high refresh rate monitors (sometimes up to 100 W); this is a known issue and AMD is working on a driver fix for this</t>
        </is>
      </c>
      <c r="C12" t="n">
        <v>0</v>
      </c>
    </row>
    <row r="13">
      <c r="A13" t="inlineStr">
        <is>
          <t>rx_6500_xt_problems</t>
        </is>
      </c>
      <c r="B13" t="inlineStr">
        <is>
          <t>poor PCI. E 3.0 performance, no hardware encoding ( thus, screen capturing on gpu not supported), only 2 display output ports; it's basically a laptop card turned into a desktop card)</t>
        </is>
      </c>
      <c r="C13" t="n">
        <v>-10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4"/>
  <sheetViews>
    <sheetView workbookViewId="0">
      <selection activeCell="A1" sqref="A1"/>
    </sheetView>
  </sheetViews>
  <sheetFormatPr baseColWidth="8" defaultRowHeight="15"/>
  <sheetData>
    <row r="1">
      <c r="B1" s="10" t="inlineStr">
        <is>
          <t>gpu_unit_name</t>
        </is>
      </c>
      <c r="C1" s="10" t="inlineStr">
        <is>
          <t>performance</t>
        </is>
      </c>
      <c r="D1" s="10" t="inlineStr">
        <is>
          <t>base_tier_score</t>
        </is>
      </c>
      <c r="E1" s="10" t="inlineStr">
        <is>
          <t>positive_comment_code</t>
        </is>
      </c>
      <c r="F1" s="10" t="inlineStr">
        <is>
          <t>negative_comment_code</t>
        </is>
      </c>
      <c r="G1" s="10" t="inlineStr">
        <is>
          <t>launch_msrp_usd</t>
        </is>
      </c>
      <c r="H1" s="10" t="inlineStr">
        <is>
          <t>launch_msrp_bdt_current_market</t>
        </is>
      </c>
      <c r="I1" s="10" t="inlineStr">
        <is>
          <t>positive_additional_score_multiplier</t>
        </is>
      </c>
      <c r="J1" s="10" t="inlineStr">
        <is>
          <t>negative_additional_score_multiplier</t>
        </is>
      </c>
      <c r="K1" s="10" t="inlineStr">
        <is>
          <t>overall_additional_score</t>
        </is>
      </c>
      <c r="L1" s="10" t="inlineStr">
        <is>
          <t>net_tier_score</t>
        </is>
      </c>
      <c r="M1" s="10" t="inlineStr">
        <is>
          <t>non_rt_positive_score_multiplier</t>
        </is>
      </c>
      <c r="N1" s="10" t="inlineStr">
        <is>
          <t>non_rt_additional_score</t>
        </is>
      </c>
      <c r="O1" s="10" t="inlineStr">
        <is>
          <t>non_rt_net_score</t>
        </is>
      </c>
    </row>
    <row r="2">
      <c r="A2" s="10" t="n">
        <v>0</v>
      </c>
      <c r="B2" t="inlineStr">
        <is>
          <t>Intel Arc A380</t>
        </is>
      </c>
      <c r="C2" t="n">
        <v>121</v>
      </c>
      <c r="D2" t="n">
        <v>1.21</v>
      </c>
      <c r="E2" t="inlineStr"/>
      <c r="F2" t="inlineStr">
        <is>
          <t>arc_driver_issues</t>
        </is>
      </c>
      <c r="G2" t="n">
        <v>140</v>
      </c>
      <c r="H2" t="n">
        <v>17500</v>
      </c>
      <c r="I2" t="n">
        <v>0</v>
      </c>
      <c r="J2" t="n">
        <v>-0.1</v>
      </c>
      <c r="K2" t="n">
        <v>-0.121</v>
      </c>
      <c r="L2" t="n">
        <v>1.089</v>
      </c>
      <c r="M2" t="n">
        <v>0</v>
      </c>
      <c r="N2" t="n">
        <v>-0.121</v>
      </c>
      <c r="O2" t="n">
        <v>1.089</v>
      </c>
    </row>
    <row r="3">
      <c r="A3" s="10" t="n">
        <v>1</v>
      </c>
      <c r="B3" t="inlineStr">
        <is>
          <t>Intel Arc A750</t>
        </is>
      </c>
      <c r="C3" t="n">
        <v>281</v>
      </c>
      <c r="D3" t="n">
        <v>2.81</v>
      </c>
      <c r="E3" t="inlineStr"/>
      <c r="F3" t="inlineStr">
        <is>
          <t>arc_driver_issues</t>
        </is>
      </c>
      <c r="G3" t="inlineStr"/>
      <c r="H3" t="inlineStr"/>
      <c r="I3" t="n">
        <v>0</v>
      </c>
      <c r="J3" t="n">
        <v>-0.1</v>
      </c>
      <c r="K3" t="n">
        <v>-0.281</v>
      </c>
      <c r="L3" t="n">
        <v>2.529</v>
      </c>
      <c r="M3" t="n">
        <v>0</v>
      </c>
      <c r="N3" t="n">
        <v>-0.281</v>
      </c>
      <c r="O3" t="n">
        <v>2.529</v>
      </c>
    </row>
    <row r="4">
      <c r="A4" s="10" t="n">
        <v>2</v>
      </c>
      <c r="B4" t="inlineStr">
        <is>
          <t>Intel Arc A770</t>
        </is>
      </c>
      <c r="C4" t="n">
        <v>301</v>
      </c>
      <c r="D4" t="n">
        <v>3.01</v>
      </c>
      <c r="E4" t="inlineStr"/>
      <c r="F4" t="inlineStr">
        <is>
          <t>arc_driver_issues</t>
        </is>
      </c>
      <c r="G4" t="inlineStr"/>
      <c r="H4" t="inlineStr"/>
      <c r="I4" t="n">
        <v>0</v>
      </c>
      <c r="J4" t="n">
        <v>-0.1</v>
      </c>
      <c r="K4" t="n">
        <v>-0.301</v>
      </c>
      <c r="L4" t="n">
        <v>2.709</v>
      </c>
      <c r="M4" t="n">
        <v>0</v>
      </c>
      <c r="N4" t="n">
        <v>-0.301</v>
      </c>
      <c r="O4" t="n">
        <v>2.709</v>
      </c>
    </row>
    <row r="5">
      <c r="A5" s="10" t="n">
        <v>3</v>
      </c>
      <c r="B5" t="inlineStr">
        <is>
          <t>Geforce GTX 1050 Ti</t>
        </is>
      </c>
      <c r="C5" t="n">
        <v>100</v>
      </c>
      <c r="D5" t="n">
        <v>1</v>
      </c>
      <c r="E5" t="inlineStr"/>
      <c r="F5" t="inlineStr"/>
      <c r="G5" t="n">
        <v>140</v>
      </c>
      <c r="H5" t="n">
        <v>17500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1</v>
      </c>
    </row>
    <row r="6">
      <c r="A6" s="10" t="n">
        <v>4</v>
      </c>
      <c r="B6" t="inlineStr">
        <is>
          <t>Geforce GTX 1060</t>
        </is>
      </c>
      <c r="C6" t="n">
        <v>160</v>
      </c>
      <c r="D6" t="n">
        <v>1.6</v>
      </c>
      <c r="E6" t="inlineStr"/>
      <c r="F6" t="inlineStr"/>
      <c r="G6" t="n">
        <v>300</v>
      </c>
      <c r="H6" t="n">
        <v>37500</v>
      </c>
      <c r="I6" t="n">
        <v>0</v>
      </c>
      <c r="J6" t="n">
        <v>0</v>
      </c>
      <c r="K6" t="n">
        <v>0</v>
      </c>
      <c r="L6" t="n">
        <v>1.6</v>
      </c>
      <c r="M6" t="n">
        <v>0</v>
      </c>
      <c r="N6" t="n">
        <v>0</v>
      </c>
      <c r="O6" t="n">
        <v>1.6</v>
      </c>
    </row>
    <row r="7">
      <c r="A7" s="10" t="n">
        <v>5</v>
      </c>
      <c r="B7" t="inlineStr">
        <is>
          <t>Geforce GTX 1650 GDDR5</t>
        </is>
      </c>
      <c r="C7" t="n">
        <v>125</v>
      </c>
      <c r="D7" t="n">
        <v>1.25</v>
      </c>
      <c r="E7" t="inlineStr">
        <is>
          <t>low_power low_profile</t>
        </is>
      </c>
      <c r="F7" t="inlineStr"/>
      <c r="G7" t="n">
        <v>150</v>
      </c>
      <c r="H7" t="n">
        <v>18750</v>
      </c>
      <c r="I7" t="n">
        <v>0.05</v>
      </c>
      <c r="J7" t="n">
        <v>0</v>
      </c>
      <c r="K7" t="n">
        <v>0.0625</v>
      </c>
      <c r="L7" t="n">
        <v>1.3125</v>
      </c>
      <c r="M7" t="n">
        <v>0.05</v>
      </c>
      <c r="N7" t="n">
        <v>0.0625</v>
      </c>
      <c r="O7" t="n">
        <v>1.3125</v>
      </c>
    </row>
    <row r="8">
      <c r="A8" s="10" t="n">
        <v>6</v>
      </c>
      <c r="B8" t="inlineStr">
        <is>
          <t>Geforce GTX 1650 GDDR6</t>
        </is>
      </c>
      <c r="C8" t="n">
        <v>139</v>
      </c>
      <c r="D8" t="n">
        <v>1.39</v>
      </c>
      <c r="E8" t="inlineStr">
        <is>
          <t>low_power low_profile</t>
        </is>
      </c>
      <c r="F8" t="inlineStr"/>
      <c r="G8" t="n">
        <v>150</v>
      </c>
      <c r="H8" t="n">
        <v>18750</v>
      </c>
      <c r="I8" t="n">
        <v>0.05</v>
      </c>
      <c r="J8" t="n">
        <v>0</v>
      </c>
      <c r="K8" t="n">
        <v>0.06949999999999999</v>
      </c>
      <c r="L8" t="n">
        <v>1.4595</v>
      </c>
      <c r="M8" t="n">
        <v>0.05</v>
      </c>
      <c r="N8" t="n">
        <v>0.06949999999999999</v>
      </c>
      <c r="O8" t="n">
        <v>1.4595</v>
      </c>
    </row>
    <row r="9">
      <c r="A9" s="10" t="n">
        <v>7</v>
      </c>
      <c r="B9" t="inlineStr">
        <is>
          <t>Geforce GTX 1650 Super</t>
        </is>
      </c>
      <c r="C9" t="n">
        <v>169</v>
      </c>
      <c r="D9" t="n">
        <v>1.69</v>
      </c>
      <c r="E9" t="inlineStr"/>
      <c r="F9" t="inlineStr"/>
      <c r="G9" t="n">
        <v>160</v>
      </c>
      <c r="H9" t="n">
        <v>20000</v>
      </c>
      <c r="I9" t="n">
        <v>0</v>
      </c>
      <c r="J9" t="n">
        <v>0</v>
      </c>
      <c r="K9" t="n">
        <v>0</v>
      </c>
      <c r="L9" t="n">
        <v>1.69</v>
      </c>
      <c r="M9" t="n">
        <v>0</v>
      </c>
      <c r="N9" t="n">
        <v>0</v>
      </c>
      <c r="O9" t="n">
        <v>1.69</v>
      </c>
    </row>
    <row r="10">
      <c r="A10" s="10" t="n">
        <v>8</v>
      </c>
      <c r="B10" t="inlineStr">
        <is>
          <t>Geforce GTX 1660</t>
        </is>
      </c>
      <c r="C10" t="n">
        <v>187</v>
      </c>
      <c r="D10" t="n">
        <v>1.87</v>
      </c>
      <c r="E10" t="inlineStr"/>
      <c r="F10" t="inlineStr"/>
      <c r="G10" t="n">
        <v>220</v>
      </c>
      <c r="H10" t="n">
        <v>27500</v>
      </c>
      <c r="I10" t="n">
        <v>0</v>
      </c>
      <c r="J10" t="n">
        <v>0</v>
      </c>
      <c r="K10" t="n">
        <v>0</v>
      </c>
      <c r="L10" t="n">
        <v>1.87</v>
      </c>
      <c r="M10" t="n">
        <v>0</v>
      </c>
      <c r="N10" t="n">
        <v>0</v>
      </c>
      <c r="O10" t="n">
        <v>1.87</v>
      </c>
    </row>
    <row r="11">
      <c r="A11" s="10" t="n">
        <v>9</v>
      </c>
      <c r="B11" t="inlineStr">
        <is>
          <t>Geforce GTX 1660 Super</t>
        </is>
      </c>
      <c r="C11" t="n">
        <v>210</v>
      </c>
      <c r="D11" t="n">
        <v>2.1</v>
      </c>
      <c r="E11" t="inlineStr"/>
      <c r="F11" t="inlineStr"/>
      <c r="G11" t="n">
        <v>230</v>
      </c>
      <c r="H11" t="n">
        <v>28750</v>
      </c>
      <c r="I11" t="n">
        <v>0</v>
      </c>
      <c r="J11" t="n">
        <v>0</v>
      </c>
      <c r="K11" t="n">
        <v>0</v>
      </c>
      <c r="L11" t="n">
        <v>2.1</v>
      </c>
      <c r="M11" t="n">
        <v>0</v>
      </c>
      <c r="N11" t="n">
        <v>0</v>
      </c>
      <c r="O11" t="n">
        <v>2.1</v>
      </c>
    </row>
    <row r="12">
      <c r="A12" s="10" t="n">
        <v>10</v>
      </c>
      <c r="B12" t="inlineStr">
        <is>
          <t>Geforce GTX 1660 Ti</t>
        </is>
      </c>
      <c r="C12" t="n">
        <v>215</v>
      </c>
      <c r="D12" t="n">
        <v>2.15</v>
      </c>
      <c r="E12" t="inlineStr"/>
      <c r="F12" t="inlineStr"/>
      <c r="G12" t="n">
        <v>280</v>
      </c>
      <c r="H12" t="n">
        <v>35000</v>
      </c>
      <c r="I12" t="n">
        <v>0</v>
      </c>
      <c r="J12" t="n">
        <v>0</v>
      </c>
      <c r="K12" t="n">
        <v>0</v>
      </c>
      <c r="L12" t="n">
        <v>2.15</v>
      </c>
      <c r="M12" t="n">
        <v>0</v>
      </c>
      <c r="N12" t="n">
        <v>0</v>
      </c>
      <c r="O12" t="n">
        <v>2.15</v>
      </c>
    </row>
    <row r="13">
      <c r="A13" s="10" t="n">
        <v>11</v>
      </c>
      <c r="B13" t="inlineStr">
        <is>
          <t>Geforce RTX 2060</t>
        </is>
      </c>
      <c r="C13" t="n">
        <v>253</v>
      </c>
      <c r="D13" t="n">
        <v>2.53</v>
      </c>
      <c r="E13" t="inlineStr">
        <is>
          <t>rt_1 dlss_2</t>
        </is>
      </c>
      <c r="F13" t="inlineStr"/>
      <c r="G13" t="n">
        <v>300</v>
      </c>
      <c r="H13" t="n">
        <v>37500</v>
      </c>
      <c r="I13" t="n">
        <v>0.12</v>
      </c>
      <c r="J13" t="n">
        <v>0</v>
      </c>
      <c r="K13" t="n">
        <v>0.3036</v>
      </c>
      <c r="L13" t="n">
        <v>2.8336</v>
      </c>
      <c r="M13" t="n">
        <v>0.07000000000000001</v>
      </c>
      <c r="N13" t="n">
        <v>0.1771</v>
      </c>
      <c r="O13" t="n">
        <v>2.7071</v>
      </c>
    </row>
    <row r="14">
      <c r="A14" s="10" t="n">
        <v>12</v>
      </c>
      <c r="B14" t="inlineStr">
        <is>
          <t>Geforce RTX 2060 Super</t>
        </is>
      </c>
      <c r="C14" t="n">
        <v>284</v>
      </c>
      <c r="D14" t="n">
        <v>2.84</v>
      </c>
      <c r="E14" t="inlineStr">
        <is>
          <t>rt_1 dlss_2</t>
        </is>
      </c>
      <c r="F14" t="inlineStr"/>
      <c r="G14" t="n">
        <v>400</v>
      </c>
      <c r="H14" t="n">
        <v>50000</v>
      </c>
      <c r="I14" t="n">
        <v>0.12</v>
      </c>
      <c r="J14" t="n">
        <v>0</v>
      </c>
      <c r="K14" t="n">
        <v>0.3408</v>
      </c>
      <c r="L14" t="n">
        <v>3.1808</v>
      </c>
      <c r="M14" t="n">
        <v>0.07000000000000001</v>
      </c>
      <c r="N14" t="n">
        <v>0.1988</v>
      </c>
      <c r="O14" t="n">
        <v>3.0388</v>
      </c>
    </row>
    <row r="15">
      <c r="A15" s="10" t="n">
        <v>13</v>
      </c>
      <c r="B15" t="inlineStr">
        <is>
          <t>Geforce RTX 2070</t>
        </is>
      </c>
      <c r="C15" t="n">
        <v>295</v>
      </c>
      <c r="D15" t="n">
        <v>2.95</v>
      </c>
      <c r="E15" t="inlineStr"/>
      <c r="F15" t="inlineStr"/>
      <c r="G15" t="n">
        <v>500</v>
      </c>
      <c r="H15" t="n">
        <v>62500</v>
      </c>
      <c r="I15" t="n">
        <v>0</v>
      </c>
      <c r="J15" t="n">
        <v>0</v>
      </c>
      <c r="K15" t="n">
        <v>0</v>
      </c>
      <c r="L15" t="n">
        <v>2.95</v>
      </c>
      <c r="M15" t="n">
        <v>0</v>
      </c>
      <c r="N15" t="n">
        <v>0</v>
      </c>
      <c r="O15" t="n">
        <v>2.95</v>
      </c>
    </row>
    <row r="16">
      <c r="A16" s="10" t="n">
        <v>14</v>
      </c>
      <c r="B16" t="inlineStr">
        <is>
          <t>Geforce RTX 2070 Super</t>
        </is>
      </c>
      <c r="C16" t="n">
        <v>326</v>
      </c>
      <c r="D16" t="n">
        <v>3.26</v>
      </c>
      <c r="E16" t="inlineStr">
        <is>
          <t>rt_1 dlss_2</t>
        </is>
      </c>
      <c r="F16" t="inlineStr"/>
      <c r="G16" t="n">
        <v>500</v>
      </c>
      <c r="H16" t="n">
        <v>62500</v>
      </c>
      <c r="I16" t="n">
        <v>0.12</v>
      </c>
      <c r="J16" t="n">
        <v>0</v>
      </c>
      <c r="K16" t="n">
        <v>0.3911999999999999</v>
      </c>
      <c r="L16" t="n">
        <v>3.6512</v>
      </c>
      <c r="M16" t="n">
        <v>0.07000000000000001</v>
      </c>
      <c r="N16" t="n">
        <v>0.2282</v>
      </c>
      <c r="O16" t="n">
        <v>3.4882</v>
      </c>
    </row>
    <row r="17">
      <c r="A17" s="10" t="n">
        <v>15</v>
      </c>
      <c r="B17" t="inlineStr">
        <is>
          <t>Geforce RTX 2080</t>
        </is>
      </c>
      <c r="C17" t="n">
        <v>350</v>
      </c>
      <c r="D17" t="n">
        <v>3.5</v>
      </c>
      <c r="E17" t="inlineStr">
        <is>
          <t>rt_1 dlss_2</t>
        </is>
      </c>
      <c r="F17" t="inlineStr"/>
      <c r="G17" t="n">
        <v>700</v>
      </c>
      <c r="H17" t="n">
        <v>87500</v>
      </c>
      <c r="I17" t="n">
        <v>0.12</v>
      </c>
      <c r="J17" t="n">
        <v>0</v>
      </c>
      <c r="K17" t="n">
        <v>0.42</v>
      </c>
      <c r="L17" t="n">
        <v>3.92</v>
      </c>
      <c r="M17" t="n">
        <v>0.07000000000000001</v>
      </c>
      <c r="N17" t="n">
        <v>0.245</v>
      </c>
      <c r="O17" t="n">
        <v>3.745</v>
      </c>
    </row>
    <row r="18">
      <c r="A18" s="10" t="n">
        <v>16</v>
      </c>
      <c r="B18" t="inlineStr">
        <is>
          <t>Geforce RTX 2080 Super</t>
        </is>
      </c>
      <c r="C18" t="n">
        <v>367</v>
      </c>
      <c r="D18" t="n">
        <v>3.67</v>
      </c>
      <c r="E18" t="inlineStr">
        <is>
          <t>rt_1 dlss_2</t>
        </is>
      </c>
      <c r="F18" t="inlineStr"/>
      <c r="G18" t="n">
        <v>700</v>
      </c>
      <c r="H18" t="n">
        <v>87500</v>
      </c>
      <c r="I18" t="n">
        <v>0.12</v>
      </c>
      <c r="J18" t="n">
        <v>0</v>
      </c>
      <c r="K18" t="n">
        <v>0.4404</v>
      </c>
      <c r="L18" t="n">
        <v>4.1104</v>
      </c>
      <c r="M18" t="n">
        <v>0.07000000000000001</v>
      </c>
      <c r="N18" t="n">
        <v>0.2569</v>
      </c>
      <c r="O18" t="n">
        <v>3.9269</v>
      </c>
    </row>
    <row r="19">
      <c r="A19" s="10" t="n">
        <v>17</v>
      </c>
      <c r="B19" t="inlineStr">
        <is>
          <t>Geforce RTX 2080 Ti</t>
        </is>
      </c>
      <c r="C19" t="n">
        <v>413</v>
      </c>
      <c r="D19" t="n">
        <v>4.13</v>
      </c>
      <c r="E19" t="inlineStr">
        <is>
          <t>rt_1 dlss_2</t>
        </is>
      </c>
      <c r="F19" t="inlineStr"/>
      <c r="G19" t="n">
        <v>1000</v>
      </c>
      <c r="H19" t="n">
        <v>125000</v>
      </c>
      <c r="I19" t="n">
        <v>0.12</v>
      </c>
      <c r="J19" t="n">
        <v>0</v>
      </c>
      <c r="K19" t="n">
        <v>0.4956</v>
      </c>
      <c r="L19" t="n">
        <v>4.625599999999999</v>
      </c>
      <c r="M19" t="n">
        <v>0.07000000000000001</v>
      </c>
      <c r="N19" t="n">
        <v>0.2891</v>
      </c>
      <c r="O19" t="n">
        <v>4.4191</v>
      </c>
    </row>
    <row r="20">
      <c r="A20" s="10" t="n">
        <v>18</v>
      </c>
      <c r="B20" t="inlineStr">
        <is>
          <t>Geforce RTX 3050</t>
        </is>
      </c>
      <c r="C20" t="n">
        <v>218</v>
      </c>
      <c r="D20" t="n">
        <v>2.18</v>
      </c>
      <c r="E20" t="inlineStr">
        <is>
          <t>rt_2 dlss_2</t>
        </is>
      </c>
      <c r="F20" t="inlineStr"/>
      <c r="G20" t="n">
        <v>250</v>
      </c>
      <c r="H20" t="n">
        <v>31250</v>
      </c>
      <c r="I20" t="n">
        <v>0.17</v>
      </c>
      <c r="J20" t="n">
        <v>0</v>
      </c>
      <c r="K20" t="n">
        <v>0.3706</v>
      </c>
      <c r="L20" t="n">
        <v>2.5506</v>
      </c>
      <c r="M20" t="n">
        <v>0.07000000000000001</v>
      </c>
      <c r="N20" t="n">
        <v>0.1526</v>
      </c>
      <c r="O20" t="n">
        <v>2.3326</v>
      </c>
    </row>
    <row r="21">
      <c r="A21" s="10" t="n">
        <v>19</v>
      </c>
      <c r="B21" t="inlineStr">
        <is>
          <t>Geforce RTX 3060 8GB</t>
        </is>
      </c>
      <c r="C21" t="n">
        <v>270</v>
      </c>
      <c r="D21" t="n">
        <v>2.7</v>
      </c>
      <c r="E21" t="inlineStr">
        <is>
          <t>rt_2 dlss_2</t>
        </is>
      </c>
      <c r="F21" t="inlineStr"/>
      <c r="G21" t="n">
        <v>330</v>
      </c>
      <c r="H21" t="n">
        <v>41250</v>
      </c>
      <c r="I21" t="n">
        <v>0.17</v>
      </c>
      <c r="J21" t="n">
        <v>0</v>
      </c>
      <c r="K21" t="n">
        <v>0.4590000000000001</v>
      </c>
      <c r="L21" t="n">
        <v>3.159</v>
      </c>
      <c r="M21" t="n">
        <v>0.07000000000000001</v>
      </c>
      <c r="N21" t="n">
        <v>0.189</v>
      </c>
      <c r="O21" t="n">
        <v>2.889</v>
      </c>
    </row>
    <row r="22">
      <c r="A22" s="10" t="n">
        <v>20</v>
      </c>
      <c r="B22" t="inlineStr">
        <is>
          <t>Geforce RTX 3060 12GB</t>
        </is>
      </c>
      <c r="C22" t="n">
        <v>301</v>
      </c>
      <c r="D22" t="n">
        <v>3.01</v>
      </c>
      <c r="E22" t="inlineStr">
        <is>
          <t>rt_2 dlss_2</t>
        </is>
      </c>
      <c r="F22" t="inlineStr"/>
      <c r="G22" t="n">
        <v>330</v>
      </c>
      <c r="H22" t="n">
        <v>41250</v>
      </c>
      <c r="I22" t="n">
        <v>0.17</v>
      </c>
      <c r="J22" t="n">
        <v>0</v>
      </c>
      <c r="K22" t="n">
        <v>0.5117</v>
      </c>
      <c r="L22" t="n">
        <v>3.5217</v>
      </c>
      <c r="M22" t="n">
        <v>0.07000000000000001</v>
      </c>
      <c r="N22" t="n">
        <v>0.2107</v>
      </c>
      <c r="O22" t="n">
        <v>3.2207</v>
      </c>
    </row>
    <row r="23">
      <c r="A23" s="10" t="n">
        <v>21</v>
      </c>
      <c r="B23" t="inlineStr">
        <is>
          <t>Geforce RTX 3060 Ti</t>
        </is>
      </c>
      <c r="C23" t="n">
        <v>376</v>
      </c>
      <c r="D23" t="n">
        <v>3.76</v>
      </c>
      <c r="E23" t="inlineStr">
        <is>
          <t>rt_2 dlss_2</t>
        </is>
      </c>
      <c r="F23" t="inlineStr"/>
      <c r="G23" t="n">
        <v>400</v>
      </c>
      <c r="H23" t="n">
        <v>50000</v>
      </c>
      <c r="I23" t="n">
        <v>0.17</v>
      </c>
      <c r="J23" t="n">
        <v>0</v>
      </c>
      <c r="K23" t="n">
        <v>0.6392</v>
      </c>
      <c r="L23" t="n">
        <v>4.3992</v>
      </c>
      <c r="M23" t="n">
        <v>0.07000000000000001</v>
      </c>
      <c r="N23" t="n">
        <v>0.2632</v>
      </c>
      <c r="O23" t="n">
        <v>4.0232</v>
      </c>
    </row>
    <row r="24">
      <c r="A24" s="10" t="n">
        <v>22</v>
      </c>
      <c r="B24" t="inlineStr">
        <is>
          <t>Geforce RTX 3070</t>
        </is>
      </c>
      <c r="C24" t="n">
        <v>441</v>
      </c>
      <c r="D24" t="n">
        <v>4.41</v>
      </c>
      <c r="E24" t="inlineStr">
        <is>
          <t>rt_2 dlss_2</t>
        </is>
      </c>
      <c r="F24" t="inlineStr"/>
      <c r="G24" t="n">
        <v>500</v>
      </c>
      <c r="H24" t="n">
        <v>62500</v>
      </c>
      <c r="I24" t="n">
        <v>0.17</v>
      </c>
      <c r="J24" t="n">
        <v>0</v>
      </c>
      <c r="K24" t="n">
        <v>0.7497</v>
      </c>
      <c r="L24" t="n">
        <v>5.1597</v>
      </c>
      <c r="M24" t="n">
        <v>0.07000000000000001</v>
      </c>
      <c r="N24" t="n">
        <v>0.3087</v>
      </c>
      <c r="O24" t="n">
        <v>4.7187</v>
      </c>
    </row>
    <row r="25">
      <c r="A25" s="10" t="n">
        <v>23</v>
      </c>
      <c r="B25" t="inlineStr">
        <is>
          <t>Geforce RTX 3070 Ti</t>
        </is>
      </c>
      <c r="C25" t="n">
        <v>472</v>
      </c>
      <c r="D25" t="n">
        <v>4.72</v>
      </c>
      <c r="E25" t="inlineStr">
        <is>
          <t>rt_2 dlss_2</t>
        </is>
      </c>
      <c r="F25" t="inlineStr"/>
      <c r="G25" t="n">
        <v>600</v>
      </c>
      <c r="H25" t="n">
        <v>75000</v>
      </c>
      <c r="I25" t="n">
        <v>0.17</v>
      </c>
      <c r="J25" t="n">
        <v>0</v>
      </c>
      <c r="K25" t="n">
        <v>0.8024</v>
      </c>
      <c r="L25" t="n">
        <v>5.522399999999999</v>
      </c>
      <c r="M25" t="n">
        <v>0.07000000000000001</v>
      </c>
      <c r="N25" t="n">
        <v>0.3304</v>
      </c>
      <c r="O25" t="n">
        <v>5.0504</v>
      </c>
    </row>
    <row r="26">
      <c r="A26" s="10" t="n">
        <v>24</v>
      </c>
      <c r="B26" t="inlineStr">
        <is>
          <t>Geforce RTX 3080 10GB</t>
        </is>
      </c>
      <c r="C26" t="n">
        <v>546</v>
      </c>
      <c r="D26" t="n">
        <v>5.46</v>
      </c>
      <c r="E26" t="inlineStr">
        <is>
          <t>rt_2 dlss_2</t>
        </is>
      </c>
      <c r="F26" t="inlineStr"/>
      <c r="G26" t="n">
        <v>700</v>
      </c>
      <c r="H26" t="n">
        <v>87500</v>
      </c>
      <c r="I26" t="n">
        <v>0.17</v>
      </c>
      <c r="J26" t="n">
        <v>0</v>
      </c>
      <c r="K26" t="n">
        <v>0.9282</v>
      </c>
      <c r="L26" t="n">
        <v>6.3882</v>
      </c>
      <c r="M26" t="n">
        <v>0.07000000000000001</v>
      </c>
      <c r="N26" t="n">
        <v>0.3822</v>
      </c>
      <c r="O26" t="n">
        <v>5.8422</v>
      </c>
    </row>
    <row r="27">
      <c r="A27" s="10" t="n">
        <v>25</v>
      </c>
      <c r="B27" t="inlineStr">
        <is>
          <t>Geforce RTX 3080 12GB</t>
        </is>
      </c>
      <c r="C27" t="n">
        <v>573</v>
      </c>
      <c r="D27" t="n">
        <v>5.73</v>
      </c>
      <c r="E27" t="inlineStr">
        <is>
          <t>rt_2 dlss_2</t>
        </is>
      </c>
      <c r="F27" t="inlineStr"/>
      <c r="G27" t="n">
        <v>800</v>
      </c>
      <c r="H27" t="n">
        <v>100000</v>
      </c>
      <c r="I27" t="n">
        <v>0.17</v>
      </c>
      <c r="J27" t="n">
        <v>0</v>
      </c>
      <c r="K27" t="n">
        <v>0.9741000000000002</v>
      </c>
      <c r="L27" t="n">
        <v>6.7041</v>
      </c>
      <c r="M27" t="n">
        <v>0.07000000000000001</v>
      </c>
      <c r="N27" t="n">
        <v>0.4011000000000001</v>
      </c>
      <c r="O27" t="n">
        <v>6.131100000000001</v>
      </c>
    </row>
    <row r="28">
      <c r="A28" s="10" t="n">
        <v>26</v>
      </c>
      <c r="B28" t="inlineStr">
        <is>
          <t>Geforce RTX 3080 Ti</t>
        </is>
      </c>
      <c r="C28" t="n">
        <v>642</v>
      </c>
      <c r="D28" t="n">
        <v>6.42</v>
      </c>
      <c r="E28" t="inlineStr">
        <is>
          <t>rt_2 dlss_2</t>
        </is>
      </c>
      <c r="F28" t="inlineStr"/>
      <c r="G28" t="n">
        <v>1200</v>
      </c>
      <c r="H28" t="n">
        <v>150000</v>
      </c>
      <c r="I28" t="n">
        <v>0.17</v>
      </c>
      <c r="J28" t="n">
        <v>0</v>
      </c>
      <c r="K28" t="n">
        <v>1.0914</v>
      </c>
      <c r="L28" t="n">
        <v>7.5114</v>
      </c>
      <c r="M28" t="n">
        <v>0.07000000000000001</v>
      </c>
      <c r="N28" t="n">
        <v>0.4494</v>
      </c>
      <c r="O28" t="n">
        <v>6.8694</v>
      </c>
    </row>
    <row r="29">
      <c r="A29" s="10" t="n">
        <v>27</v>
      </c>
      <c r="B29" t="inlineStr">
        <is>
          <t>Geforce RTX 3090</t>
        </is>
      </c>
      <c r="C29" t="n">
        <v>648</v>
      </c>
      <c r="D29" t="n">
        <v>6.48</v>
      </c>
      <c r="E29" t="inlineStr">
        <is>
          <t>rt_2 dlss_2</t>
        </is>
      </c>
      <c r="F29" t="inlineStr">
        <is>
          <t>monster_size</t>
        </is>
      </c>
      <c r="G29" t="n">
        <v>1500</v>
      </c>
      <c r="H29" t="n">
        <v>187500</v>
      </c>
      <c r="I29" t="n">
        <v>0.17</v>
      </c>
      <c r="J29" t="n">
        <v>-0.05</v>
      </c>
      <c r="K29" t="n">
        <v>0.7776000000000001</v>
      </c>
      <c r="L29" t="n">
        <v>7.2576</v>
      </c>
      <c r="M29" t="n">
        <v>0.07000000000000001</v>
      </c>
      <c r="N29" t="n">
        <v>0.1296</v>
      </c>
      <c r="O29" t="n">
        <v>6.6096</v>
      </c>
    </row>
    <row r="30">
      <c r="A30" s="10" t="n">
        <v>28</v>
      </c>
      <c r="B30" t="inlineStr">
        <is>
          <t>Geforce RTX 3090 Ti</t>
        </is>
      </c>
      <c r="C30" t="n">
        <v>700</v>
      </c>
      <c r="D30" t="n">
        <v>7</v>
      </c>
      <c r="E30" t="inlineStr">
        <is>
          <t>rt_2 dlss_2</t>
        </is>
      </c>
      <c r="F30" t="inlineStr">
        <is>
          <t>monster_size</t>
        </is>
      </c>
      <c r="G30" t="n">
        <v>2000</v>
      </c>
      <c r="H30" t="n">
        <v>250000</v>
      </c>
      <c r="I30" t="n">
        <v>0.17</v>
      </c>
      <c r="J30" t="n">
        <v>-0.05</v>
      </c>
      <c r="K30" t="n">
        <v>0.8400000000000001</v>
      </c>
      <c r="L30" t="n">
        <v>7.84</v>
      </c>
      <c r="M30" t="n">
        <v>0.07000000000000001</v>
      </c>
      <c r="N30" t="n">
        <v>0.14</v>
      </c>
      <c r="O30" t="n">
        <v>7.14</v>
      </c>
    </row>
    <row r="31">
      <c r="A31" s="10" t="n">
        <v>29</v>
      </c>
      <c r="B31" t="inlineStr">
        <is>
          <t>Geforce RTX 4080</t>
        </is>
      </c>
      <c r="C31" t="n">
        <v>811</v>
      </c>
      <c r="D31" t="n">
        <v>8.109999999999999</v>
      </c>
      <c r="E31" t="inlineStr">
        <is>
          <t>rt_3 dlss_2 dlss_3</t>
        </is>
      </c>
      <c r="F31" t="inlineStr">
        <is>
          <t>monster_size</t>
        </is>
      </c>
      <c r="G31" t="n">
        <v>1200</v>
      </c>
      <c r="H31" t="n">
        <v>150000</v>
      </c>
      <c r="I31" t="n">
        <v>0.22</v>
      </c>
      <c r="J31" t="n">
        <v>-0.05</v>
      </c>
      <c r="K31" t="n">
        <v>1.3787</v>
      </c>
      <c r="L31" t="n">
        <v>9.4887</v>
      </c>
      <c r="M31" t="n">
        <v>0.07000000000000001</v>
      </c>
      <c r="N31" t="n">
        <v>0.1622</v>
      </c>
      <c r="O31" t="n">
        <v>8.2722</v>
      </c>
    </row>
    <row r="32">
      <c r="A32" s="10" t="n">
        <v>30</v>
      </c>
      <c r="B32" t="inlineStr">
        <is>
          <t>Geforce RTX 4090</t>
        </is>
      </c>
      <c r="C32" t="n">
        <v>1014</v>
      </c>
      <c r="D32" t="n">
        <v>10.14</v>
      </c>
      <c r="E32" t="inlineStr">
        <is>
          <t>rt_3 dlss_2 dlss_3</t>
        </is>
      </c>
      <c r="F32" t="inlineStr">
        <is>
          <t>monster_size</t>
        </is>
      </c>
      <c r="G32" t="n">
        <v>1600</v>
      </c>
      <c r="H32" t="n">
        <v>200000</v>
      </c>
      <c r="I32" t="n">
        <v>0.22</v>
      </c>
      <c r="J32" t="n">
        <v>-0.05</v>
      </c>
      <c r="K32" t="n">
        <v>1.7238</v>
      </c>
      <c r="L32" t="n">
        <v>11.8638</v>
      </c>
      <c r="M32" t="n">
        <v>0.07000000000000001</v>
      </c>
      <c r="N32" t="n">
        <v>0.2028000000000001</v>
      </c>
      <c r="O32" t="n">
        <v>10.3428</v>
      </c>
    </row>
    <row r="33">
      <c r="A33" s="10" t="n">
        <v>31</v>
      </c>
      <c r="B33" t="inlineStr">
        <is>
          <t>Geforce RTX 4070 Ti</t>
        </is>
      </c>
      <c r="C33" t="n">
        <v>668</v>
      </c>
      <c r="D33" t="n">
        <v>6.68</v>
      </c>
      <c r="E33" t="inlineStr">
        <is>
          <t>rt_3 dlss_2 dlss_3</t>
        </is>
      </c>
      <c r="F33" t="inlineStr"/>
      <c r="G33" t="n">
        <v>800</v>
      </c>
      <c r="H33" t="n">
        <v>100000</v>
      </c>
      <c r="I33" t="n">
        <v>0.22</v>
      </c>
      <c r="J33" t="n">
        <v>0</v>
      </c>
      <c r="K33" t="n">
        <v>1.4696</v>
      </c>
      <c r="L33" t="n">
        <v>8.1496</v>
      </c>
      <c r="M33" t="n">
        <v>0.07000000000000001</v>
      </c>
      <c r="N33" t="n">
        <v>0.4676</v>
      </c>
      <c r="O33" t="n">
        <v>7.1476</v>
      </c>
    </row>
    <row r="34">
      <c r="A34" s="10" t="n">
        <v>32</v>
      </c>
      <c r="B34" t="inlineStr">
        <is>
          <t>Radeon RX 5500 OEM</t>
        </is>
      </c>
      <c r="C34" t="n">
        <v>162</v>
      </c>
      <c r="D34" t="n">
        <v>1.62</v>
      </c>
      <c r="E34" t="inlineStr"/>
      <c r="F34" t="inlineStr"/>
      <c r="G34" t="inlineStr"/>
      <c r="H34" t="inlineStr"/>
      <c r="I34" t="n">
        <v>0</v>
      </c>
      <c r="J34" t="n">
        <v>0</v>
      </c>
      <c r="K34" t="n">
        <v>0</v>
      </c>
      <c r="L34" t="n">
        <v>1.62</v>
      </c>
      <c r="M34" t="n">
        <v>0</v>
      </c>
      <c r="N34" t="n">
        <v>0</v>
      </c>
      <c r="O34" t="n">
        <v>1.62</v>
      </c>
    </row>
    <row r="35">
      <c r="A35" s="10" t="n">
        <v>33</v>
      </c>
      <c r="B35" t="inlineStr">
        <is>
          <t>Radeon RX 5500 XT 4GB</t>
        </is>
      </c>
      <c r="C35" t="n">
        <v>142</v>
      </c>
      <c r="D35" t="n">
        <v>1.42</v>
      </c>
      <c r="E35" t="inlineStr"/>
      <c r="F35" t="inlineStr"/>
      <c r="G35" t="n">
        <v>170</v>
      </c>
      <c r="H35" t="n">
        <v>21250</v>
      </c>
      <c r="I35" t="n">
        <v>0</v>
      </c>
      <c r="J35" t="n">
        <v>0</v>
      </c>
      <c r="K35" t="n">
        <v>0</v>
      </c>
      <c r="L35" t="n">
        <v>1.42</v>
      </c>
      <c r="M35" t="n">
        <v>0</v>
      </c>
      <c r="N35" t="n">
        <v>0</v>
      </c>
      <c r="O35" t="n">
        <v>1.42</v>
      </c>
    </row>
    <row r="36">
      <c r="A36" s="10" t="n">
        <v>34</v>
      </c>
      <c r="B36" t="inlineStr">
        <is>
          <t>Radeon RX 5500 XT 8GB</t>
        </is>
      </c>
      <c r="C36" t="n">
        <v>165</v>
      </c>
      <c r="D36" t="n">
        <v>1.65</v>
      </c>
      <c r="E36" t="inlineStr"/>
      <c r="F36" t="inlineStr"/>
      <c r="G36" t="n">
        <v>200</v>
      </c>
      <c r="H36" t="n">
        <v>25000</v>
      </c>
      <c r="I36" t="n">
        <v>0</v>
      </c>
      <c r="J36" t="n">
        <v>0</v>
      </c>
      <c r="K36" t="n">
        <v>0</v>
      </c>
      <c r="L36" t="n">
        <v>1.65</v>
      </c>
      <c r="M36" t="n">
        <v>0</v>
      </c>
      <c r="N36" t="n">
        <v>0</v>
      </c>
      <c r="O36" t="n">
        <v>1.65</v>
      </c>
    </row>
    <row r="37">
      <c r="A37" s="10" t="n">
        <v>35</v>
      </c>
      <c r="B37" t="inlineStr">
        <is>
          <t>Radeon RX 5600 XT</t>
        </is>
      </c>
      <c r="C37" t="n">
        <v>246</v>
      </c>
      <c r="D37" t="n">
        <v>2.46</v>
      </c>
      <c r="E37" t="inlineStr"/>
      <c r="F37" t="inlineStr"/>
      <c r="G37" t="n">
        <v>280</v>
      </c>
      <c r="H37" t="n">
        <v>35000</v>
      </c>
      <c r="I37" t="n">
        <v>0</v>
      </c>
      <c r="J37" t="n">
        <v>0</v>
      </c>
      <c r="K37" t="n">
        <v>0</v>
      </c>
      <c r="L37" t="n">
        <v>2.46</v>
      </c>
      <c r="M37" t="n">
        <v>0</v>
      </c>
      <c r="N37" t="n">
        <v>0</v>
      </c>
      <c r="O37" t="n">
        <v>2.46</v>
      </c>
    </row>
    <row r="38">
      <c r="A38" s="10" t="n">
        <v>36</v>
      </c>
      <c r="B38" t="inlineStr">
        <is>
          <t>Radeon RX 570</t>
        </is>
      </c>
      <c r="C38" t="n">
        <v>142</v>
      </c>
      <c r="D38" t="n">
        <v>1.42</v>
      </c>
      <c r="E38" t="inlineStr"/>
      <c r="F38" t="inlineStr"/>
      <c r="G38" t="n">
        <v>170</v>
      </c>
      <c r="H38" t="n">
        <v>21250</v>
      </c>
      <c r="I38" t="n">
        <v>0</v>
      </c>
      <c r="J38" t="n">
        <v>0</v>
      </c>
      <c r="K38" t="n">
        <v>0</v>
      </c>
      <c r="L38" t="n">
        <v>1.42</v>
      </c>
      <c r="M38" t="n">
        <v>0</v>
      </c>
      <c r="N38" t="n">
        <v>0</v>
      </c>
      <c r="O38" t="n">
        <v>1.42</v>
      </c>
    </row>
    <row r="39">
      <c r="A39" s="10" t="n">
        <v>37</v>
      </c>
      <c r="B39" t="inlineStr">
        <is>
          <t>Radeon RX 5700</t>
        </is>
      </c>
      <c r="C39" t="n">
        <v>263</v>
      </c>
      <c r="D39" t="n">
        <v>2.63</v>
      </c>
      <c r="E39" t="inlineStr"/>
      <c r="F39" t="inlineStr"/>
      <c r="G39" t="n">
        <v>350</v>
      </c>
      <c r="H39" t="n">
        <v>43750</v>
      </c>
      <c r="I39" t="n">
        <v>0</v>
      </c>
      <c r="J39" t="n">
        <v>0</v>
      </c>
      <c r="K39" t="n">
        <v>0</v>
      </c>
      <c r="L39" t="n">
        <v>2.63</v>
      </c>
      <c r="M39" t="n">
        <v>0</v>
      </c>
      <c r="N39" t="n">
        <v>0</v>
      </c>
      <c r="O39" t="n">
        <v>2.63</v>
      </c>
    </row>
    <row r="40">
      <c r="A40" s="10" t="n">
        <v>38</v>
      </c>
      <c r="B40" t="inlineStr">
        <is>
          <t>Radeon RX 5700 XT</t>
        </is>
      </c>
      <c r="C40" t="n">
        <v>302</v>
      </c>
      <c r="D40" t="n">
        <v>3.02</v>
      </c>
      <c r="E40" t="inlineStr"/>
      <c r="F40" t="inlineStr"/>
      <c r="G40" t="n">
        <v>400</v>
      </c>
      <c r="H40" t="n">
        <v>50000</v>
      </c>
      <c r="I40" t="n">
        <v>0</v>
      </c>
      <c r="J40" t="n">
        <v>0</v>
      </c>
      <c r="K40" t="n">
        <v>0</v>
      </c>
      <c r="L40" t="n">
        <v>3.02</v>
      </c>
      <c r="M40" t="n">
        <v>0</v>
      </c>
      <c r="N40" t="n">
        <v>0</v>
      </c>
      <c r="O40" t="n">
        <v>3.02</v>
      </c>
    </row>
    <row r="41">
      <c r="A41" s="10" t="n">
        <v>39</v>
      </c>
      <c r="B41" t="inlineStr">
        <is>
          <t>Radeon RX 580</t>
        </is>
      </c>
      <c r="C41" t="n">
        <v>164</v>
      </c>
      <c r="D41" t="n">
        <v>1.64</v>
      </c>
      <c r="E41" t="inlineStr"/>
      <c r="F41" t="inlineStr"/>
      <c r="G41" t="n">
        <v>230</v>
      </c>
      <c r="H41" t="n">
        <v>28750</v>
      </c>
      <c r="I41" t="n">
        <v>0</v>
      </c>
      <c r="J41" t="n">
        <v>0</v>
      </c>
      <c r="K41" t="n">
        <v>0</v>
      </c>
      <c r="L41" t="n">
        <v>1.64</v>
      </c>
      <c r="M41" t="n">
        <v>0</v>
      </c>
      <c r="N41" t="n">
        <v>0</v>
      </c>
      <c r="O41" t="n">
        <v>1.64</v>
      </c>
    </row>
    <row r="42">
      <c r="A42" s="10" t="n">
        <v>40</v>
      </c>
      <c r="B42" t="inlineStr">
        <is>
          <t>Radeon RX 590</t>
        </is>
      </c>
      <c r="C42" t="n">
        <v>177</v>
      </c>
      <c r="D42" t="n">
        <v>1.77</v>
      </c>
      <c r="E42" t="inlineStr"/>
      <c r="F42" t="inlineStr"/>
      <c r="G42" t="n">
        <v>280</v>
      </c>
      <c r="H42" t="n">
        <v>35000</v>
      </c>
      <c r="I42" t="n">
        <v>0</v>
      </c>
      <c r="J42" t="n">
        <v>0</v>
      </c>
      <c r="K42" t="n">
        <v>0</v>
      </c>
      <c r="L42" t="n">
        <v>1.77</v>
      </c>
      <c r="M42" t="n">
        <v>0</v>
      </c>
      <c r="N42" t="n">
        <v>0</v>
      </c>
      <c r="O42" t="n">
        <v>1.77</v>
      </c>
    </row>
    <row r="43">
      <c r="A43" s="10" t="n">
        <v>41</v>
      </c>
      <c r="B43" t="inlineStr">
        <is>
          <t>Radeon RX 6600</t>
        </is>
      </c>
      <c r="C43" t="n">
        <v>282</v>
      </c>
      <c r="D43" t="n">
        <v>2.82</v>
      </c>
      <c r="E43" t="inlineStr">
        <is>
          <t>rt_1</t>
        </is>
      </c>
      <c r="F43" t="inlineStr"/>
      <c r="G43" t="n">
        <v>330</v>
      </c>
      <c r="H43" t="n">
        <v>41250</v>
      </c>
      <c r="I43" t="n">
        <v>0.05</v>
      </c>
      <c r="J43" t="n">
        <v>0</v>
      </c>
      <c r="K43" t="n">
        <v>0.141</v>
      </c>
      <c r="L43" t="n">
        <v>2.961</v>
      </c>
      <c r="M43" t="n">
        <v>0</v>
      </c>
      <c r="N43" t="n">
        <v>0</v>
      </c>
      <c r="O43" t="n">
        <v>2.82</v>
      </c>
    </row>
    <row r="44">
      <c r="A44" s="10" t="n">
        <v>42</v>
      </c>
      <c r="B44" t="inlineStr">
        <is>
          <t>Radeon RX 6600 XT</t>
        </is>
      </c>
      <c r="C44" t="n">
        <v>336</v>
      </c>
      <c r="D44" t="n">
        <v>3.36</v>
      </c>
      <c r="E44" t="inlineStr">
        <is>
          <t xml:space="preserve">rt_1  </t>
        </is>
      </c>
      <c r="F44" t="inlineStr"/>
      <c r="G44" t="n">
        <v>380</v>
      </c>
      <c r="H44" t="n">
        <v>47500</v>
      </c>
      <c r="I44" t="n">
        <v>0.05</v>
      </c>
      <c r="J44" t="n">
        <v>0</v>
      </c>
      <c r="K44" t="n">
        <v>0.168</v>
      </c>
      <c r="L44" t="n">
        <v>3.528</v>
      </c>
      <c r="M44" t="n">
        <v>0</v>
      </c>
      <c r="N44" t="n">
        <v>0</v>
      </c>
      <c r="O44" t="n">
        <v>3.36</v>
      </c>
    </row>
    <row r="45">
      <c r="A45" s="10" t="n">
        <v>43</v>
      </c>
      <c r="B45" t="inlineStr">
        <is>
          <t>Radeon RX 6650 XT</t>
        </is>
      </c>
      <c r="C45" t="n">
        <v>343</v>
      </c>
      <c r="D45" t="n">
        <v>3.43</v>
      </c>
      <c r="E45" t="inlineStr">
        <is>
          <t xml:space="preserve">rt_1  </t>
        </is>
      </c>
      <c r="F45" t="inlineStr"/>
      <c r="G45" t="n">
        <v>400</v>
      </c>
      <c r="H45" t="n">
        <v>50000</v>
      </c>
      <c r="I45" t="n">
        <v>0.05</v>
      </c>
      <c r="J45" t="n">
        <v>0</v>
      </c>
      <c r="K45" t="n">
        <v>0.1715</v>
      </c>
      <c r="L45" t="n">
        <v>3.6015</v>
      </c>
      <c r="M45" t="n">
        <v>0</v>
      </c>
      <c r="N45" t="n">
        <v>0</v>
      </c>
      <c r="O45" t="n">
        <v>3.43</v>
      </c>
    </row>
    <row r="46">
      <c r="A46" s="10" t="n">
        <v>44</v>
      </c>
      <c r="B46" t="inlineStr">
        <is>
          <t>Radeon RX 6700 XT</t>
        </is>
      </c>
      <c r="C46" t="n">
        <v>383</v>
      </c>
      <c r="D46" t="n">
        <v>3.83</v>
      </c>
      <c r="E46" t="inlineStr">
        <is>
          <t xml:space="preserve">rt_1  </t>
        </is>
      </c>
      <c r="F46" t="inlineStr"/>
      <c r="G46" t="n">
        <v>480</v>
      </c>
      <c r="H46" t="n">
        <v>60000</v>
      </c>
      <c r="I46" t="n">
        <v>0.05</v>
      </c>
      <c r="J46" t="n">
        <v>0</v>
      </c>
      <c r="K46" t="n">
        <v>0.1915</v>
      </c>
      <c r="L46" t="n">
        <v>4.0215</v>
      </c>
      <c r="M46" t="n">
        <v>0</v>
      </c>
      <c r="N46" t="n">
        <v>0</v>
      </c>
      <c r="O46" t="n">
        <v>3.83</v>
      </c>
    </row>
    <row r="47">
      <c r="A47" s="10" t="n">
        <v>45</v>
      </c>
      <c r="B47" t="inlineStr">
        <is>
          <t>Radeon RX 6750 XT</t>
        </is>
      </c>
      <c r="C47" t="n">
        <v>414</v>
      </c>
      <c r="D47" t="n">
        <v>4.14</v>
      </c>
      <c r="E47" t="inlineStr">
        <is>
          <t xml:space="preserve">rt_1  </t>
        </is>
      </c>
      <c r="F47" t="inlineStr"/>
      <c r="G47" t="n">
        <v>550</v>
      </c>
      <c r="H47" t="n">
        <v>68750</v>
      </c>
      <c r="I47" t="n">
        <v>0.05</v>
      </c>
      <c r="J47" t="n">
        <v>0</v>
      </c>
      <c r="K47" t="n">
        <v>0.207</v>
      </c>
      <c r="L47" t="n">
        <v>4.347</v>
      </c>
      <c r="M47" t="n">
        <v>0</v>
      </c>
      <c r="N47" t="n">
        <v>0</v>
      </c>
      <c r="O47" t="n">
        <v>4.14</v>
      </c>
    </row>
    <row r="48">
      <c r="A48" s="10" t="n">
        <v>46</v>
      </c>
      <c r="B48" t="inlineStr">
        <is>
          <t>Radeon RX 6800</t>
        </is>
      </c>
      <c r="C48" t="n">
        <v>486</v>
      </c>
      <c r="D48" t="n">
        <v>4.86</v>
      </c>
      <c r="E48" t="inlineStr">
        <is>
          <t xml:space="preserve">rt_1  </t>
        </is>
      </c>
      <c r="F48" t="inlineStr"/>
      <c r="G48" t="n">
        <v>580</v>
      </c>
      <c r="H48" t="n">
        <v>72500</v>
      </c>
      <c r="I48" t="n">
        <v>0.05</v>
      </c>
      <c r="J48" t="n">
        <v>0</v>
      </c>
      <c r="K48" t="n">
        <v>0.243</v>
      </c>
      <c r="L48" t="n">
        <v>5.103000000000001</v>
      </c>
      <c r="M48" t="n">
        <v>0</v>
      </c>
      <c r="N48" t="n">
        <v>0</v>
      </c>
      <c r="O48" t="n">
        <v>4.86</v>
      </c>
    </row>
    <row r="49">
      <c r="A49" s="10" t="n">
        <v>47</v>
      </c>
      <c r="B49" t="inlineStr">
        <is>
          <t>Radeon RX 6800 XT</t>
        </is>
      </c>
      <c r="C49" t="n">
        <v>558</v>
      </c>
      <c r="D49" t="n">
        <v>5.58</v>
      </c>
      <c r="E49" t="inlineStr">
        <is>
          <t xml:space="preserve">rt_1  </t>
        </is>
      </c>
      <c r="F49" t="inlineStr"/>
      <c r="G49" t="n">
        <v>650</v>
      </c>
      <c r="H49" t="n">
        <v>81250</v>
      </c>
      <c r="I49" t="n">
        <v>0.05</v>
      </c>
      <c r="J49" t="n">
        <v>0</v>
      </c>
      <c r="K49" t="n">
        <v>0.279</v>
      </c>
      <c r="L49" t="n">
        <v>5.859</v>
      </c>
      <c r="M49" t="n">
        <v>0</v>
      </c>
      <c r="N49" t="n">
        <v>0</v>
      </c>
      <c r="O49" t="n">
        <v>5.58</v>
      </c>
    </row>
    <row r="50">
      <c r="A50" s="10" t="n">
        <v>48</v>
      </c>
      <c r="B50" t="inlineStr">
        <is>
          <t>Radeon RX 6900 XT</t>
        </is>
      </c>
      <c r="C50" t="n">
        <v>606</v>
      </c>
      <c r="D50" t="n">
        <v>6.06</v>
      </c>
      <c r="E50" t="inlineStr">
        <is>
          <t xml:space="preserve">rt_1  </t>
        </is>
      </c>
      <c r="F50" t="inlineStr"/>
      <c r="G50" t="n">
        <v>1000</v>
      </c>
      <c r="H50" t="n">
        <v>125000</v>
      </c>
      <c r="I50" t="n">
        <v>0.05</v>
      </c>
      <c r="J50" t="n">
        <v>0</v>
      </c>
      <c r="K50" t="n">
        <v>0.303</v>
      </c>
      <c r="L50" t="n">
        <v>6.363</v>
      </c>
      <c r="M50" t="n">
        <v>0</v>
      </c>
      <c r="N50" t="n">
        <v>0</v>
      </c>
      <c r="O50" t="n">
        <v>6.06</v>
      </c>
    </row>
    <row r="51">
      <c r="A51" s="10" t="n">
        <v>49</v>
      </c>
      <c r="B51" t="inlineStr">
        <is>
          <t>Radeon RX 6950 XT</t>
        </is>
      </c>
      <c r="C51" t="n">
        <v>643</v>
      </c>
      <c r="D51" t="n">
        <v>6.43</v>
      </c>
      <c r="E51" t="inlineStr">
        <is>
          <t xml:space="preserve">rt_1  </t>
        </is>
      </c>
      <c r="F51" t="inlineStr"/>
      <c r="G51" t="n">
        <v>1100</v>
      </c>
      <c r="H51" t="n">
        <v>137500</v>
      </c>
      <c r="I51" t="n">
        <v>0.05</v>
      </c>
      <c r="J51" t="n">
        <v>0</v>
      </c>
      <c r="K51" t="n">
        <v>0.3215</v>
      </c>
      <c r="L51" t="n">
        <v>6.7515</v>
      </c>
      <c r="M51" t="n">
        <v>0</v>
      </c>
      <c r="N51" t="n">
        <v>0</v>
      </c>
      <c r="O51" t="n">
        <v>6.43</v>
      </c>
    </row>
    <row r="52">
      <c r="A52" s="10" t="n">
        <v>50</v>
      </c>
      <c r="B52" t="inlineStr">
        <is>
          <t>Radeon RX 7900 XT</t>
        </is>
      </c>
      <c r="C52" t="n">
        <v>706</v>
      </c>
      <c r="D52" t="n">
        <v>7.06</v>
      </c>
      <c r="E52" t="inlineStr">
        <is>
          <t xml:space="preserve">rt_2  </t>
        </is>
      </c>
      <c r="F52" t="inlineStr">
        <is>
          <t>radeon_high_temp</t>
        </is>
      </c>
      <c r="G52" t="n">
        <v>900</v>
      </c>
      <c r="H52" t="n">
        <v>112500</v>
      </c>
      <c r="I52" t="n">
        <v>0.1</v>
      </c>
      <c r="J52" t="n">
        <v>-0.05</v>
      </c>
      <c r="K52" t="n">
        <v>0.353</v>
      </c>
      <c r="L52" t="n">
        <v>7.412999999999999</v>
      </c>
      <c r="M52" t="n">
        <v>0</v>
      </c>
      <c r="N52" t="n">
        <v>-0.353</v>
      </c>
      <c r="O52" t="n">
        <v>6.707</v>
      </c>
    </row>
    <row r="53">
      <c r="A53" s="10" t="n">
        <v>51</v>
      </c>
      <c r="B53" t="inlineStr">
        <is>
          <t>Radeon RX 7900 XTX</t>
        </is>
      </c>
      <c r="C53" t="n">
        <v>844</v>
      </c>
      <c r="D53" t="n">
        <v>8.44</v>
      </c>
      <c r="E53" t="inlineStr">
        <is>
          <t xml:space="preserve">rt_2  </t>
        </is>
      </c>
      <c r="F53" t="inlineStr">
        <is>
          <t>radeon_high_temp</t>
        </is>
      </c>
      <c r="G53" t="n">
        <v>1000</v>
      </c>
      <c r="H53" t="n">
        <v>125000</v>
      </c>
      <c r="I53" t="n">
        <v>0.1</v>
      </c>
      <c r="J53" t="n">
        <v>-0.05</v>
      </c>
      <c r="K53" t="n">
        <v>0.422</v>
      </c>
      <c r="L53" t="n">
        <v>8.862</v>
      </c>
      <c r="M53" t="n">
        <v>0</v>
      </c>
      <c r="N53" t="n">
        <v>-0.422</v>
      </c>
      <c r="O53" t="n">
        <v>8.017999999999999</v>
      </c>
    </row>
    <row r="54">
      <c r="A54" s="10" t="n">
        <v>52</v>
      </c>
      <c r="B54" t="inlineStr">
        <is>
          <t>Radeon RX 6500 XT</t>
        </is>
      </c>
      <c r="C54" t="n">
        <v>166</v>
      </c>
      <c r="D54" t="n">
        <v>1.66</v>
      </c>
      <c r="E54" t="inlineStr">
        <is>
          <t>rt_1</t>
        </is>
      </c>
      <c r="F54" t="inlineStr">
        <is>
          <t>rx_6500_xt_problems</t>
        </is>
      </c>
      <c r="G54" t="n">
        <v>200</v>
      </c>
      <c r="H54" t="n">
        <v>25000</v>
      </c>
      <c r="I54" t="n">
        <v>0.05</v>
      </c>
      <c r="J54" t="n">
        <v>-0.1</v>
      </c>
      <c r="K54" t="n">
        <v>-0.083</v>
      </c>
      <c r="L54" t="n">
        <v>1.577</v>
      </c>
      <c r="M54" t="n">
        <v>0</v>
      </c>
      <c r="N54" t="n">
        <v>-0.166</v>
      </c>
      <c r="O54" t="n">
        <v>1.494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1"/>
  <sheetViews>
    <sheetView tabSelected="1" workbookViewId="0">
      <selection activeCell="C33" sqref="C33"/>
    </sheetView>
  </sheetViews>
  <sheetFormatPr baseColWidth="8" defaultRowHeight="15"/>
  <cols>
    <col width="23.140625" bestFit="1" customWidth="1" style="8" min="1" max="1"/>
    <col width="12.42578125" bestFit="1" customWidth="1" style="8" min="2" max="2"/>
    <col width="15.140625" bestFit="1" customWidth="1" style="8" min="3" max="3"/>
    <col width="16.5703125" bestFit="1" customWidth="1" style="8" min="4" max="4"/>
    <col width="31.7109375" bestFit="1" customWidth="1" style="8" min="5" max="5"/>
  </cols>
  <sheetData>
    <row r="1">
      <c r="A1" s="3" t="inlineStr">
        <is>
          <t>gpu_name_tpu</t>
        </is>
      </c>
      <c r="B1" s="3" t="inlineStr">
        <is>
          <t>performance</t>
        </is>
      </c>
      <c r="C1" s="3" t="inlineStr">
        <is>
          <t>base_tier_score</t>
        </is>
      </c>
      <c r="D1" s="3" t="inlineStr">
        <is>
          <t>launch_msrp_usd</t>
        </is>
      </c>
      <c r="E1" s="3" t="inlineStr">
        <is>
          <t>launch_msrp_bdt_current_market</t>
        </is>
      </c>
      <c r="F1" s="3" t="n"/>
      <c r="G1" s="3" t="n"/>
      <c r="H1" s="3" t="n"/>
    </row>
    <row r="2">
      <c r="A2" t="inlineStr">
        <is>
          <t>Geforce GTX 1050 Ti</t>
        </is>
      </c>
      <c r="B2" t="n">
        <v>100</v>
      </c>
      <c r="C2" t="n">
        <v>1</v>
      </c>
      <c r="D2" t="n">
        <v>140</v>
      </c>
      <c r="E2" t="n">
        <v>17500</v>
      </c>
    </row>
    <row r="3">
      <c r="A3" t="inlineStr">
        <is>
          <t>Intel Arc A380</t>
        </is>
      </c>
      <c r="B3" t="n">
        <v>121</v>
      </c>
      <c r="C3" t="n">
        <v>1.21</v>
      </c>
      <c r="D3" t="n">
        <v>140</v>
      </c>
      <c r="E3" t="n">
        <v>17500</v>
      </c>
    </row>
    <row r="4">
      <c r="A4" t="inlineStr">
        <is>
          <t>Geforce GTX 1650 GDDR5</t>
        </is>
      </c>
      <c r="B4" t="n">
        <v>125</v>
      </c>
      <c r="C4" t="n">
        <v>1.25</v>
      </c>
      <c r="D4" t="n">
        <v>150</v>
      </c>
      <c r="E4" t="n">
        <v>18750</v>
      </c>
    </row>
    <row r="5">
      <c r="A5" t="inlineStr">
        <is>
          <t>Geforce GTX 1650 GDDR6</t>
        </is>
      </c>
      <c r="B5" t="n">
        <v>139</v>
      </c>
      <c r="C5" t="n">
        <v>1.39</v>
      </c>
      <c r="D5" t="n">
        <v>150</v>
      </c>
      <c r="E5" t="n">
        <v>18750</v>
      </c>
    </row>
    <row r="6">
      <c r="A6" t="inlineStr">
        <is>
          <t>Radeon RX 5500 XT 4GB</t>
        </is>
      </c>
      <c r="B6" t="n">
        <v>142</v>
      </c>
      <c r="C6" t="n">
        <v>1.42</v>
      </c>
      <c r="D6" t="n">
        <v>170</v>
      </c>
      <c r="E6" t="n">
        <v>21250</v>
      </c>
    </row>
    <row r="7">
      <c r="A7" t="inlineStr">
        <is>
          <t>Radeon RX 570</t>
        </is>
      </c>
      <c r="B7" t="n">
        <v>142</v>
      </c>
      <c r="C7" t="n">
        <v>1.42</v>
      </c>
      <c r="D7" t="n">
        <v>170</v>
      </c>
      <c r="E7" t="n">
        <v>21250</v>
      </c>
    </row>
    <row r="8">
      <c r="A8" t="inlineStr">
        <is>
          <t>Geforce GTX 1060</t>
        </is>
      </c>
      <c r="B8" t="n">
        <v>160</v>
      </c>
      <c r="C8" t="n">
        <v>1.6</v>
      </c>
      <c r="D8" t="n">
        <v>300</v>
      </c>
      <c r="E8" t="n">
        <v>37500</v>
      </c>
    </row>
    <row r="9">
      <c r="A9" t="inlineStr">
        <is>
          <t>Radeon RX 5500 OEM</t>
        </is>
      </c>
      <c r="B9" t="n">
        <v>162</v>
      </c>
      <c r="C9" t="n">
        <v>1.62</v>
      </c>
    </row>
    <row r="10">
      <c r="A10" t="inlineStr">
        <is>
          <t>Radeon RX 580</t>
        </is>
      </c>
      <c r="B10" t="n">
        <v>164</v>
      </c>
      <c r="C10" t="n">
        <v>1.64</v>
      </c>
      <c r="D10" t="n">
        <v>230</v>
      </c>
      <c r="E10" t="n">
        <v>28750</v>
      </c>
    </row>
    <row r="11">
      <c r="A11" t="inlineStr">
        <is>
          <t>Radeon RX 5500 XT 8GB</t>
        </is>
      </c>
      <c r="B11" t="n">
        <v>165</v>
      </c>
      <c r="C11" t="n">
        <v>1.65</v>
      </c>
      <c r="D11" t="n">
        <v>200</v>
      </c>
      <c r="E11" t="n">
        <v>25000</v>
      </c>
    </row>
    <row r="12">
      <c r="A12" t="inlineStr">
        <is>
          <t>Geforce GTX 1650 SUPER</t>
        </is>
      </c>
      <c r="B12" t="n">
        <v>169</v>
      </c>
      <c r="C12" t="n">
        <v>1.69</v>
      </c>
      <c r="D12" t="n">
        <v>160</v>
      </c>
      <c r="E12" t="n">
        <v>20000</v>
      </c>
    </row>
    <row r="13">
      <c r="A13" t="inlineStr">
        <is>
          <t>Radeon RX 590</t>
        </is>
      </c>
      <c r="B13" t="n">
        <v>177</v>
      </c>
      <c r="C13" t="n">
        <v>1.77</v>
      </c>
      <c r="D13" t="n">
        <v>280</v>
      </c>
      <c r="E13" t="n">
        <v>35000</v>
      </c>
    </row>
    <row r="14">
      <c r="A14" t="inlineStr">
        <is>
          <t>Geforce GTX 1660</t>
        </is>
      </c>
      <c r="B14" t="n">
        <v>187</v>
      </c>
      <c r="C14" t="n">
        <v>1.87</v>
      </c>
      <c r="D14" t="n">
        <v>220</v>
      </c>
      <c r="E14" t="n">
        <v>27500</v>
      </c>
    </row>
    <row r="15">
      <c r="A15" t="inlineStr">
        <is>
          <t>Geforce GTX 1660 SUPER</t>
        </is>
      </c>
      <c r="B15" t="n">
        <v>210</v>
      </c>
      <c r="C15" t="n">
        <v>2.1</v>
      </c>
      <c r="D15" t="n">
        <v>230</v>
      </c>
      <c r="E15" t="n">
        <v>28750</v>
      </c>
    </row>
    <row r="16">
      <c r="A16" t="inlineStr">
        <is>
          <t>Geforce GTX 1660 Ti</t>
        </is>
      </c>
      <c r="B16" t="n">
        <v>215</v>
      </c>
      <c r="C16" t="n">
        <v>2.15</v>
      </c>
      <c r="D16" t="n">
        <v>280</v>
      </c>
      <c r="E16" t="n">
        <v>35000</v>
      </c>
    </row>
    <row r="17">
      <c r="A17" t="inlineStr">
        <is>
          <t>Geforce RTX 3050</t>
        </is>
      </c>
      <c r="B17" t="n">
        <v>218</v>
      </c>
      <c r="C17" t="n">
        <v>2.18</v>
      </c>
      <c r="D17" t="n">
        <v>250</v>
      </c>
      <c r="E17" t="n">
        <v>31250</v>
      </c>
    </row>
    <row r="18">
      <c r="A18" t="inlineStr">
        <is>
          <t>Radeon RX 5600 XT</t>
        </is>
      </c>
      <c r="B18" t="n">
        <v>246</v>
      </c>
      <c r="C18" t="n">
        <v>2.46</v>
      </c>
      <c r="D18" t="n">
        <v>280</v>
      </c>
      <c r="E18" t="n">
        <v>35000</v>
      </c>
    </row>
    <row r="19">
      <c r="A19" t="inlineStr">
        <is>
          <t>Geforce RTX 2060</t>
        </is>
      </c>
      <c r="B19" t="n">
        <v>253</v>
      </c>
      <c r="C19" t="n">
        <v>2.53</v>
      </c>
      <c r="D19" t="n">
        <v>300</v>
      </c>
      <c r="E19" t="n">
        <v>37500</v>
      </c>
    </row>
    <row r="20">
      <c r="A20" t="inlineStr">
        <is>
          <t>Radeon RX 5700</t>
        </is>
      </c>
      <c r="B20" t="n">
        <v>263</v>
      </c>
      <c r="C20" t="n">
        <v>2.63</v>
      </c>
      <c r="D20" t="n">
        <v>350</v>
      </c>
      <c r="E20" t="n">
        <v>43750</v>
      </c>
    </row>
    <row r="21">
      <c r="A21" t="inlineStr">
        <is>
          <t>Intel Arc A750</t>
        </is>
      </c>
      <c r="B21" t="n">
        <v>281</v>
      </c>
      <c r="C21" t="n">
        <v>2.81</v>
      </c>
    </row>
    <row r="22">
      <c r="A22" t="inlineStr">
        <is>
          <t>Radeon RX 6600</t>
        </is>
      </c>
      <c r="B22" t="n">
        <v>282</v>
      </c>
      <c r="C22" t="n">
        <v>2.82</v>
      </c>
      <c r="D22" t="n">
        <v>330</v>
      </c>
      <c r="E22" t="n">
        <v>41250</v>
      </c>
    </row>
    <row r="23">
      <c r="A23" t="inlineStr">
        <is>
          <t>Geforce RTX 2060 SUPER</t>
        </is>
      </c>
      <c r="B23" t="n">
        <v>284</v>
      </c>
      <c r="C23" t="n">
        <v>2.84</v>
      </c>
      <c r="D23" t="n">
        <v>400</v>
      </c>
      <c r="E23" t="n">
        <v>50000</v>
      </c>
    </row>
    <row r="24">
      <c r="A24" t="inlineStr">
        <is>
          <t>Geforce RTX 2070</t>
        </is>
      </c>
      <c r="B24" t="n">
        <v>295</v>
      </c>
      <c r="C24" t="n">
        <v>2.95</v>
      </c>
      <c r="D24" t="n">
        <v>500</v>
      </c>
      <c r="E24" t="n">
        <v>62500</v>
      </c>
    </row>
    <row r="25">
      <c r="A25" t="inlineStr">
        <is>
          <t>Intel Arc A770</t>
        </is>
      </c>
      <c r="B25" t="n">
        <v>301</v>
      </c>
      <c r="C25" t="n">
        <v>3.01</v>
      </c>
    </row>
    <row r="26">
      <c r="A26" t="inlineStr">
        <is>
          <t>Geforce RTX 3060</t>
        </is>
      </c>
      <c r="B26" t="n">
        <v>301</v>
      </c>
      <c r="C26" t="n">
        <v>3.01</v>
      </c>
      <c r="D26" t="n">
        <v>330</v>
      </c>
      <c r="E26" t="n">
        <v>41250</v>
      </c>
    </row>
    <row r="27">
      <c r="A27" t="inlineStr">
        <is>
          <t>Radeon RX 5700 XT</t>
        </is>
      </c>
      <c r="B27" t="n">
        <v>302</v>
      </c>
      <c r="C27" t="n">
        <v>3.02</v>
      </c>
      <c r="D27" t="n">
        <v>400</v>
      </c>
      <c r="E27" t="n">
        <v>50000</v>
      </c>
    </row>
    <row r="28">
      <c r="A28" t="inlineStr">
        <is>
          <t>Geforce RTX 2070 SUPER</t>
        </is>
      </c>
      <c r="B28" t="n">
        <v>326</v>
      </c>
      <c r="C28" t="n">
        <v>3.26</v>
      </c>
      <c r="D28" t="n">
        <v>500</v>
      </c>
      <c r="E28" t="n">
        <v>62500</v>
      </c>
    </row>
    <row r="29">
      <c r="A29" t="inlineStr">
        <is>
          <t>Radeon RX 6600 XT</t>
        </is>
      </c>
      <c r="B29" t="n">
        <v>336</v>
      </c>
      <c r="C29" t="n">
        <v>3.36</v>
      </c>
      <c r="D29" t="n">
        <v>380</v>
      </c>
      <c r="E29" t="n">
        <v>47500</v>
      </c>
    </row>
    <row r="30">
      <c r="A30" t="inlineStr">
        <is>
          <t>Radeon RX 6650 XT</t>
        </is>
      </c>
      <c r="B30" t="n">
        <v>343</v>
      </c>
      <c r="C30" t="n">
        <v>3.43</v>
      </c>
      <c r="D30" t="n">
        <v>400</v>
      </c>
      <c r="E30" t="n">
        <v>50000</v>
      </c>
    </row>
    <row r="31">
      <c r="A31" t="inlineStr">
        <is>
          <t>Geforce RTX 2080</t>
        </is>
      </c>
      <c r="B31" t="n">
        <v>350</v>
      </c>
      <c r="C31" t="n">
        <v>3.5</v>
      </c>
      <c r="D31" t="n">
        <v>700</v>
      </c>
      <c r="E31" t="n">
        <v>87500</v>
      </c>
    </row>
    <row r="32">
      <c r="A32" t="inlineStr">
        <is>
          <t>Geforce RTX 2080 SUPER</t>
        </is>
      </c>
      <c r="B32" t="n">
        <v>367</v>
      </c>
      <c r="C32" t="n">
        <v>3.67</v>
      </c>
      <c r="D32" t="n">
        <v>700</v>
      </c>
      <c r="E32" t="n">
        <v>87500</v>
      </c>
    </row>
    <row r="33">
      <c r="A33" t="inlineStr">
        <is>
          <t>Geforce RTX 3060 Ti</t>
        </is>
      </c>
      <c r="B33" t="n">
        <v>376</v>
      </c>
      <c r="C33" t="n">
        <v>3.76</v>
      </c>
      <c r="D33" t="n">
        <v>400</v>
      </c>
      <c r="E33" t="n">
        <v>50000</v>
      </c>
    </row>
    <row r="34">
      <c r="A34" t="inlineStr">
        <is>
          <t>Radeon RX 6700 XT</t>
        </is>
      </c>
      <c r="B34" t="n">
        <v>383</v>
      </c>
      <c r="C34" t="n">
        <v>3.83</v>
      </c>
      <c r="D34" t="n">
        <v>480</v>
      </c>
      <c r="E34" t="n">
        <v>60000</v>
      </c>
    </row>
    <row r="35">
      <c r="A35" t="inlineStr">
        <is>
          <t>Geforce RTX 2080 Ti</t>
        </is>
      </c>
      <c r="B35" t="n">
        <v>413</v>
      </c>
      <c r="C35" t="n">
        <v>4.13</v>
      </c>
      <c r="D35" t="n">
        <v>1000</v>
      </c>
      <c r="E35" t="n">
        <v>125000</v>
      </c>
    </row>
    <row r="36">
      <c r="A36" t="inlineStr">
        <is>
          <t>Radeon RX 6750 XT</t>
        </is>
      </c>
      <c r="B36" t="n">
        <v>414</v>
      </c>
      <c r="C36" t="n">
        <v>4.14</v>
      </c>
      <c r="D36" t="n">
        <v>550</v>
      </c>
      <c r="E36" t="n">
        <v>68750</v>
      </c>
    </row>
    <row r="37">
      <c r="A37" t="inlineStr">
        <is>
          <t>Geforce RTX 3070</t>
        </is>
      </c>
      <c r="B37" t="n">
        <v>441</v>
      </c>
      <c r="C37" t="n">
        <v>4.41</v>
      </c>
      <c r="D37" t="n">
        <v>500</v>
      </c>
      <c r="E37" t="n">
        <v>62500</v>
      </c>
    </row>
    <row r="38">
      <c r="A38" t="inlineStr">
        <is>
          <t>Geforce RTX 3070 Ti</t>
        </is>
      </c>
      <c r="B38" t="n">
        <v>472</v>
      </c>
      <c r="C38" t="n">
        <v>4.72</v>
      </c>
      <c r="D38" t="n">
        <v>600</v>
      </c>
      <c r="E38" t="n">
        <v>75000</v>
      </c>
    </row>
    <row r="39">
      <c r="A39" t="inlineStr">
        <is>
          <t>Radeon RX 6800</t>
        </is>
      </c>
      <c r="B39" t="n">
        <v>486</v>
      </c>
      <c r="C39" t="n">
        <v>4.86</v>
      </c>
      <c r="D39" t="n">
        <v>580</v>
      </c>
      <c r="E39" t="n">
        <v>72500</v>
      </c>
    </row>
    <row r="40">
      <c r="A40" t="inlineStr">
        <is>
          <t>Geforce RTX 3080 10GB</t>
        </is>
      </c>
      <c r="B40" t="n">
        <v>546</v>
      </c>
      <c r="C40" t="n">
        <v>5.46</v>
      </c>
      <c r="D40" t="n">
        <v>700</v>
      </c>
      <c r="E40" t="n">
        <v>87500</v>
      </c>
    </row>
    <row r="41">
      <c r="A41" t="inlineStr">
        <is>
          <t>Radeon RX 6800 XT</t>
        </is>
      </c>
      <c r="B41" t="n">
        <v>558</v>
      </c>
      <c r="C41" t="n">
        <v>5.58</v>
      </c>
      <c r="D41" t="n">
        <v>650</v>
      </c>
      <c r="E41" t="n">
        <v>81250</v>
      </c>
    </row>
    <row r="42">
      <c r="A42" t="inlineStr">
        <is>
          <t>Geforce RTX 3080 12GB</t>
        </is>
      </c>
      <c r="B42" t="n">
        <v>573</v>
      </c>
      <c r="C42" t="n">
        <v>5.73</v>
      </c>
      <c r="D42" t="n">
        <v>800</v>
      </c>
      <c r="E42" t="n">
        <v>100000</v>
      </c>
    </row>
    <row r="43">
      <c r="A43" t="inlineStr">
        <is>
          <t>Radeon RX 6900 XT</t>
        </is>
      </c>
      <c r="B43" t="n">
        <v>606</v>
      </c>
      <c r="C43" t="n">
        <v>6.06</v>
      </c>
      <c r="D43" t="n">
        <v>1000</v>
      </c>
      <c r="E43" t="n">
        <v>125000</v>
      </c>
    </row>
    <row r="44">
      <c r="A44" t="inlineStr">
        <is>
          <t>Geforce RTX 3080 Ti</t>
        </is>
      </c>
      <c r="B44" t="n">
        <v>642</v>
      </c>
      <c r="C44" t="n">
        <v>6.42</v>
      </c>
      <c r="D44" t="n">
        <v>1200</v>
      </c>
      <c r="E44" t="n">
        <v>150000</v>
      </c>
    </row>
    <row r="45">
      <c r="A45" t="inlineStr">
        <is>
          <t>Radeon RX 6950 XT</t>
        </is>
      </c>
      <c r="B45" t="n">
        <v>643</v>
      </c>
      <c r="C45" t="n">
        <v>6.43</v>
      </c>
      <c r="D45" t="n">
        <v>1100</v>
      </c>
      <c r="E45" t="n">
        <v>137500</v>
      </c>
    </row>
    <row r="46">
      <c r="A46" t="inlineStr">
        <is>
          <t>Geforce RTX 3090</t>
        </is>
      </c>
      <c r="B46" t="n">
        <v>648</v>
      </c>
      <c r="C46" t="n">
        <v>6.48</v>
      </c>
      <c r="D46" t="n">
        <v>1500</v>
      </c>
      <c r="E46" t="n">
        <v>187500</v>
      </c>
    </row>
    <row r="47">
      <c r="A47" t="inlineStr">
        <is>
          <t>Geforce RTX 3090 Ti</t>
        </is>
      </c>
      <c r="B47" t="n">
        <v>700</v>
      </c>
      <c r="C47" t="n">
        <v>7</v>
      </c>
      <c r="D47" t="n">
        <v>2000</v>
      </c>
      <c r="E47" t="n">
        <v>250000</v>
      </c>
    </row>
    <row r="48">
      <c r="A48" t="inlineStr">
        <is>
          <t>Radeon RX 7900 XT</t>
        </is>
      </c>
      <c r="B48" t="n">
        <v>706</v>
      </c>
      <c r="C48" t="n">
        <v>7.06</v>
      </c>
      <c r="D48" t="n">
        <v>900</v>
      </c>
      <c r="E48" t="n">
        <v>112500</v>
      </c>
    </row>
    <row r="49">
      <c r="A49" t="inlineStr">
        <is>
          <t>Geforce RTX 4080</t>
        </is>
      </c>
      <c r="B49" t="n">
        <v>811</v>
      </c>
      <c r="C49" t="n">
        <v>8.109999999999999</v>
      </c>
      <c r="D49" t="n">
        <v>1200</v>
      </c>
      <c r="E49" t="n">
        <v>150000</v>
      </c>
    </row>
    <row r="50">
      <c r="A50" t="inlineStr">
        <is>
          <t>Radeon RX 7900 XTX</t>
        </is>
      </c>
      <c r="B50" t="n">
        <v>844</v>
      </c>
      <c r="C50" t="n">
        <v>8.44</v>
      </c>
      <c r="D50" t="n">
        <v>1000</v>
      </c>
      <c r="E50" t="n">
        <v>125000</v>
      </c>
    </row>
    <row r="51">
      <c r="A51" t="inlineStr">
        <is>
          <t>Geforce RTX 4090</t>
        </is>
      </c>
      <c r="B51" t="n">
        <v>1014</v>
      </c>
      <c r="C51" t="n">
        <v>10.14</v>
      </c>
      <c r="D51" t="n">
        <v>1600</v>
      </c>
      <c r="E51" t="n">
        <v>200000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2023-01-02T06:20:45Z</dcterms:created>
  <dcterms:modified xsi:type="dcterms:W3CDTF">2023-02-12T05:50:46Z</dcterms:modified>
  <cp:lastModifiedBy>User</cp:lastModifiedBy>
</cp:coreProperties>
</file>