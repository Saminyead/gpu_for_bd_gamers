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\GPU_Project\"/>
    </mc:Choice>
  </mc:AlternateContent>
  <bookViews>
    <workbookView xWindow="0" yWindow="0" windowWidth="28800" windowHeight="12330" activeTab="2"/>
  </bookViews>
  <sheets>
    <sheet name="tier_score_sheet" sheetId="1" r:id="rId1"/>
    <sheet name="comment_table" sheetId="2" r:id="rId2"/>
    <sheet name="overall_tier_scores" sheetId="3" r:id="rId3"/>
    <sheet name="tier_score_sheet_copy" sheetId="4" r:id="rId4"/>
  </sheets>
  <calcPr calcId="162913"/>
</workbook>
</file>

<file path=xl/calcChain.xml><?xml version="1.0" encoding="utf-8"?>
<calcChain xmlns="http://schemas.openxmlformats.org/spreadsheetml/2006/main">
  <c r="C54" i="1" l="1"/>
  <c r="G54" i="1"/>
  <c r="Y54" i="1"/>
  <c r="F53" i="1"/>
  <c r="G53" i="1" s="1"/>
  <c r="D53" i="1"/>
  <c r="C53" i="1"/>
  <c r="Y52" i="1"/>
  <c r="F52" i="1"/>
  <c r="G52" i="1" s="1"/>
  <c r="D52" i="1"/>
  <c r="C52" i="1"/>
  <c r="Y51" i="1"/>
  <c r="F51" i="1"/>
  <c r="G51" i="1" s="1"/>
  <c r="D51" i="1"/>
  <c r="C51" i="1"/>
  <c r="Y50" i="1"/>
  <c r="F50" i="1"/>
  <c r="G50" i="1" s="1"/>
  <c r="D50" i="1"/>
  <c r="C50" i="1"/>
  <c r="Y49" i="1"/>
  <c r="F49" i="1"/>
  <c r="G49" i="1" s="1"/>
  <c r="D49" i="1"/>
  <c r="C49" i="1"/>
  <c r="Y48" i="1"/>
  <c r="F48" i="1"/>
  <c r="G48" i="1" s="1"/>
  <c r="D48" i="1"/>
  <c r="C48" i="1"/>
  <c r="Y47" i="1"/>
  <c r="F47" i="1"/>
  <c r="G47" i="1" s="1"/>
  <c r="D47" i="1"/>
  <c r="C47" i="1"/>
  <c r="Y46" i="1"/>
  <c r="F46" i="1"/>
  <c r="G46" i="1" s="1"/>
  <c r="D46" i="1"/>
  <c r="C46" i="1"/>
  <c r="Y45" i="1"/>
  <c r="G45" i="1"/>
  <c r="F45" i="1"/>
  <c r="D45" i="1"/>
  <c r="C45" i="1"/>
  <c r="F44" i="1"/>
  <c r="G44" i="1" s="1"/>
  <c r="D44" i="1"/>
  <c r="C44" i="1"/>
  <c r="Y43" i="1"/>
  <c r="G43" i="1"/>
  <c r="C43" i="1"/>
  <c r="Y42" i="1"/>
  <c r="G42" i="1"/>
  <c r="F42" i="1"/>
  <c r="C42" i="1"/>
  <c r="Y41" i="1"/>
  <c r="F41" i="1"/>
  <c r="G41" i="1" s="1"/>
  <c r="C41" i="1"/>
  <c r="Y40" i="1"/>
  <c r="G40" i="1"/>
  <c r="F40" i="1"/>
  <c r="C40" i="1"/>
  <c r="Y39" i="1"/>
  <c r="G39" i="1"/>
  <c r="F39" i="1"/>
  <c r="C39" i="1"/>
  <c r="Y38" i="1"/>
  <c r="F38" i="1"/>
  <c r="G38" i="1" s="1"/>
  <c r="C38" i="1"/>
  <c r="F37" i="1"/>
  <c r="G37" i="1" s="1"/>
  <c r="C37" i="1"/>
  <c r="Y36" i="1"/>
  <c r="F36" i="1"/>
  <c r="G36" i="1" s="1"/>
  <c r="C36" i="1"/>
  <c r="Y35" i="1"/>
  <c r="G35" i="1"/>
  <c r="F35" i="1"/>
  <c r="C35" i="1"/>
  <c r="C34" i="1"/>
  <c r="Y33" i="1"/>
  <c r="G33" i="1"/>
  <c r="F33" i="1"/>
  <c r="D33" i="1"/>
  <c r="C33" i="1"/>
  <c r="Y32" i="1"/>
  <c r="F32" i="1"/>
  <c r="G32" i="1" s="1"/>
  <c r="D32" i="1"/>
  <c r="C32" i="1"/>
  <c r="Y31" i="1"/>
  <c r="G31" i="1"/>
  <c r="F31" i="1"/>
  <c r="D31" i="1"/>
  <c r="C31" i="1"/>
  <c r="Y30" i="1"/>
  <c r="F30" i="1"/>
  <c r="G30" i="1" s="1"/>
  <c r="D30" i="1"/>
  <c r="C30" i="1"/>
  <c r="Y29" i="1"/>
  <c r="F29" i="1"/>
  <c r="G29" i="1" s="1"/>
  <c r="D29" i="1"/>
  <c r="C29" i="1"/>
  <c r="Y28" i="1"/>
  <c r="F28" i="1"/>
  <c r="G28" i="1" s="1"/>
  <c r="D28" i="1"/>
  <c r="C28" i="1"/>
  <c r="Y27" i="1"/>
  <c r="F27" i="1"/>
  <c r="G27" i="1" s="1"/>
  <c r="D27" i="1"/>
  <c r="C27" i="1"/>
  <c r="Y26" i="1"/>
  <c r="F26" i="1"/>
  <c r="G26" i="1" s="1"/>
  <c r="D26" i="1"/>
  <c r="C26" i="1"/>
  <c r="Y25" i="1"/>
  <c r="G25" i="1"/>
  <c r="F25" i="1"/>
  <c r="D25" i="1"/>
  <c r="C25" i="1"/>
  <c r="Y24" i="1"/>
  <c r="G24" i="1"/>
  <c r="F24" i="1"/>
  <c r="D24" i="1"/>
  <c r="C24" i="1"/>
  <c r="Y23" i="1"/>
  <c r="G23" i="1"/>
  <c r="F23" i="1"/>
  <c r="D23" i="1"/>
  <c r="C23" i="1"/>
  <c r="Y22" i="1"/>
  <c r="G22" i="1"/>
  <c r="F22" i="1"/>
  <c r="D22" i="1"/>
  <c r="C22" i="1"/>
  <c r="Y21" i="1"/>
  <c r="G21" i="1"/>
  <c r="F21" i="1"/>
  <c r="D21" i="1"/>
  <c r="C21" i="1"/>
  <c r="Y20" i="1"/>
  <c r="F20" i="1"/>
  <c r="G20" i="1" s="1"/>
  <c r="D20" i="1"/>
  <c r="C20" i="1"/>
  <c r="Y19" i="1"/>
  <c r="G19" i="1"/>
  <c r="F19" i="1"/>
  <c r="D19" i="1"/>
  <c r="C19" i="1"/>
  <c r="Y18" i="1"/>
  <c r="F18" i="1"/>
  <c r="G18" i="1" s="1"/>
  <c r="D18" i="1"/>
  <c r="C18" i="1"/>
  <c r="Y17" i="1"/>
  <c r="F17" i="1"/>
  <c r="G17" i="1" s="1"/>
  <c r="D17" i="1"/>
  <c r="C17" i="1"/>
  <c r="Y16" i="1"/>
  <c r="G16" i="1"/>
  <c r="F16" i="1"/>
  <c r="D16" i="1"/>
  <c r="C16" i="1"/>
  <c r="Y15" i="1"/>
  <c r="G15" i="1"/>
  <c r="C15" i="1"/>
  <c r="Y14" i="1"/>
  <c r="G14" i="1"/>
  <c r="F14" i="1"/>
  <c r="D14" i="1"/>
  <c r="C14" i="1"/>
  <c r="Y13" i="1"/>
  <c r="G13" i="1"/>
  <c r="F13" i="1"/>
  <c r="D13" i="1"/>
  <c r="C13" i="1"/>
  <c r="Y12" i="1"/>
  <c r="G12" i="1"/>
  <c r="F12" i="1"/>
  <c r="C12" i="1"/>
  <c r="Y11" i="1"/>
  <c r="F11" i="1"/>
  <c r="G11" i="1" s="1"/>
  <c r="C11" i="1"/>
  <c r="Y10" i="1"/>
  <c r="F10" i="1"/>
  <c r="G10" i="1" s="1"/>
  <c r="C10" i="1"/>
  <c r="Y9" i="1"/>
  <c r="G9" i="1"/>
  <c r="F9" i="1"/>
  <c r="C9" i="1"/>
  <c r="Y8" i="1"/>
  <c r="F8" i="1"/>
  <c r="G8" i="1" s="1"/>
  <c r="D8" i="1"/>
  <c r="C8" i="1"/>
  <c r="Y7" i="1"/>
  <c r="G7" i="1"/>
  <c r="F7" i="1"/>
  <c r="D7" i="1"/>
  <c r="C7" i="1"/>
  <c r="Y6" i="1"/>
  <c r="G6" i="1"/>
  <c r="F6" i="1"/>
  <c r="C6" i="1"/>
  <c r="Y5" i="1"/>
  <c r="G5" i="1"/>
  <c r="F5" i="1"/>
  <c r="C5" i="1"/>
  <c r="Y4" i="1"/>
  <c r="C4" i="1"/>
  <c r="Y3" i="1"/>
  <c r="C3" i="1"/>
  <c r="Y2" i="1"/>
  <c r="G2" i="1"/>
  <c r="F2" i="1"/>
  <c r="E2" i="1"/>
  <c r="C2" i="1"/>
</calcChain>
</file>

<file path=xl/sharedStrings.xml><?xml version="1.0" encoding="utf-8"?>
<sst xmlns="http://schemas.openxmlformats.org/spreadsheetml/2006/main" count="358" uniqueCount="120">
  <si>
    <t>gpu_unit_name</t>
  </si>
  <si>
    <t>performance</t>
  </si>
  <si>
    <t>base_tier_score</t>
  </si>
  <si>
    <t>positive_comment_code</t>
  </si>
  <si>
    <t>negative_comment_code</t>
  </si>
  <si>
    <t>launch_msrp_usd</t>
  </si>
  <si>
    <t>launch_msrp_bdt_current_market</t>
  </si>
  <si>
    <t>GPU Unit Name</t>
  </si>
  <si>
    <t>Positive Code</t>
  </si>
  <si>
    <t>Negative Code</t>
  </si>
  <si>
    <t>Lauch MSRP (in USD)</t>
  </si>
  <si>
    <t>MSRP Adjusted for Exchange Rate (in BDT)</t>
  </si>
  <si>
    <t>Intel Arc A380</t>
  </si>
  <si>
    <t>Geforce GTX 1050 Ti</t>
  </si>
  <si>
    <t>Intel Arc A750</t>
  </si>
  <si>
    <t>arc_driver_issues</t>
  </si>
  <si>
    <t>Geforce GTX 1060</t>
  </si>
  <si>
    <t>Intel Arc A770</t>
  </si>
  <si>
    <t>Geforce GTX 1650 GDDR5</t>
  </si>
  <si>
    <t>low_power low_profile</t>
  </si>
  <si>
    <t>Geforce GTX 1650 GDDR6</t>
  </si>
  <si>
    <t>Geforce GTX 1650 Super</t>
  </si>
  <si>
    <t>Geforce GTX 1660</t>
  </si>
  <si>
    <t>Geforce GTX 1660 Super</t>
  </si>
  <si>
    <t>Geforce GTX 1650 SUPER</t>
  </si>
  <si>
    <t>Geforce GTX 1660 Ti</t>
  </si>
  <si>
    <t>Geforce RTX 2060</t>
  </si>
  <si>
    <t>rt_1 dlss_2</t>
  </si>
  <si>
    <t>Geforce GTX 1660 SUPER</t>
  </si>
  <si>
    <t>Geforce RTX 2060 Super</t>
  </si>
  <si>
    <t xml:space="preserve">Geforce RTX 2070 </t>
  </si>
  <si>
    <t>Geforce RTX 2070 Super</t>
  </si>
  <si>
    <t>Geforce RTX 2060 SUPER</t>
  </si>
  <si>
    <t>Geforce RTX 2080</t>
  </si>
  <si>
    <t>Geforce RTX 2070</t>
  </si>
  <si>
    <t>Geforce RTX 2080 Super</t>
  </si>
  <si>
    <t>Geforce RTX 2070 SUPER</t>
  </si>
  <si>
    <t>Geforce RTX 2080 Ti</t>
  </si>
  <si>
    <t>Geforce RTX 3050</t>
  </si>
  <si>
    <t>rt_2 dlss_2</t>
  </si>
  <si>
    <t>Geforce RTX 2080 SUPER</t>
  </si>
  <si>
    <t>Geforce RTX 3060 8GB</t>
  </si>
  <si>
    <t>Geforce RTX 3060 12GB</t>
  </si>
  <si>
    <t>Geforce RTX 3060 Ti</t>
  </si>
  <si>
    <t>Geforce RTX 3070</t>
  </si>
  <si>
    <t>Geforce RTX 3070 Ti</t>
  </si>
  <si>
    <t>Geforce RTX 3080 10GB</t>
  </si>
  <si>
    <t>Geforce RTX 3080 12GB</t>
  </si>
  <si>
    <t>Geforce RTX 3080 Ti</t>
  </si>
  <si>
    <t>Geforce RTX 3090</t>
  </si>
  <si>
    <t>Geforce RTX 3090 Ti</t>
  </si>
  <si>
    <t>Geforce RTX 4070 Ti</t>
  </si>
  <si>
    <t>rt_3 dlss_2 dlss_3</t>
  </si>
  <si>
    <t>monster_size</t>
  </si>
  <si>
    <t>Geforce RTX 4080</t>
  </si>
  <si>
    <t>Geforce RTX 4090</t>
  </si>
  <si>
    <t>Radeon RX 570</t>
  </si>
  <si>
    <t>Radeon RX 580</t>
  </si>
  <si>
    <t>Radeon RX 590</t>
  </si>
  <si>
    <t>Radeon RX 5500 OEM</t>
  </si>
  <si>
    <t>Radeon RX 5500 XT 4GB</t>
  </si>
  <si>
    <t>Radeon RX 5500 XT 8GB</t>
  </si>
  <si>
    <t>Radeon RX 5600 XT</t>
  </si>
  <si>
    <t>Radeon RX 5600</t>
  </si>
  <si>
    <t>Radeon RX 5700</t>
  </si>
  <si>
    <t>Radeon RX 5700 XT</t>
  </si>
  <si>
    <t xml:space="preserve">Radeon RX 6600 </t>
  </si>
  <si>
    <t xml:space="preserve">rt_1  </t>
  </si>
  <si>
    <t>Radeon RX 6600 XT</t>
  </si>
  <si>
    <t>Radeon RX 6600</t>
  </si>
  <si>
    <t>rt_1</t>
  </si>
  <si>
    <t>Radeon RX 6650 XT</t>
  </si>
  <si>
    <t>Radeon RX 6700</t>
  </si>
  <si>
    <t>Radeon RX 6700 XT</t>
  </si>
  <si>
    <t>Radeon RX 6750 XT</t>
  </si>
  <si>
    <t>Radeon RX 6800</t>
  </si>
  <si>
    <t>Radeon RX 6800 XT</t>
  </si>
  <si>
    <t>Radeon RX 6900 XT</t>
  </si>
  <si>
    <t>Radeon RX 6950 XT</t>
  </si>
  <si>
    <t>Radeon RX 7900 XT</t>
  </si>
  <si>
    <t xml:space="preserve">rt_2  </t>
  </si>
  <si>
    <t>radeon_high_temp</t>
  </si>
  <si>
    <t>Radeon RX 7900 XTX</t>
  </si>
  <si>
    <t>Intel Arc A310</t>
  </si>
  <si>
    <t>Intel Arc A580</t>
  </si>
  <si>
    <t>Intel Arc A770 (8 GB)</t>
  </si>
  <si>
    <t>Intel Arc A770 (16 GB)</t>
  </si>
  <si>
    <t>comment_code</t>
  </si>
  <si>
    <t>comment_desc</t>
  </si>
  <si>
    <t>score</t>
  </si>
  <si>
    <t>1st generation ray tracing capabilities or equivalent/limited ray tracing capabilities</t>
  </si>
  <si>
    <t>rt_2</t>
  </si>
  <si>
    <t>2nd generation ray tracing capabilities or equivalent</t>
  </si>
  <si>
    <t>rt_3</t>
  </si>
  <si>
    <t>3rd generation ray tracing capabilities or equivalent</t>
  </si>
  <si>
    <t>dlss_2</t>
  </si>
  <si>
    <t>supports Nvidia's DLSS (Deep Learning Super Sampling) 2 upscaling technology, increasing FPS in supported games</t>
  </si>
  <si>
    <t>dlss_3</t>
  </si>
  <si>
    <t>supports Nvidia's DLSS (Deep Learning Super Sampling) 3.0 upscaling technology, currently the technology can potentially noticably degrade visual quality, and increase input latency unlike DLSS 2</t>
  </si>
  <si>
    <t>low_power</t>
  </si>
  <si>
    <t>low power consumption (just 75 watts), no need for external power connection</t>
  </si>
  <si>
    <t>currently Intel Arc GPU drivers have several issues affecting performance and stability</t>
  </si>
  <si>
    <t>some of the Radeon RX 7900 XT and 7900 XTX currently having high junction temperature issues; AMD has acknowledged them and replace them under warranty</t>
  </si>
  <si>
    <t>low_profile</t>
  </si>
  <si>
    <t>low profile graphics card, should fit a mini-ITX case easily</t>
  </si>
  <si>
    <t>graphics card is very large and may require a case upgrade (over 300 mm in length and/or 60 mm in height)</t>
  </si>
  <si>
    <t>radeon_high_idle_power</t>
  </si>
  <si>
    <t>when connecting to high resolution and high refresh rate monitors (sometimes up to 100 W); this is a known issue and AMD is working on a driver fix for this</t>
  </si>
  <si>
    <t>positive_additional_score_multiplier</t>
  </si>
  <si>
    <t>negative_additional_score_multiplier</t>
  </si>
  <si>
    <t>overall_additional_score</t>
  </si>
  <si>
    <t>net_tier_score</t>
  </si>
  <si>
    <t>non_rt_positive_score_multiplier</t>
  </si>
  <si>
    <t>non_rt_additional_score</t>
  </si>
  <si>
    <t>non_rt_net_score</t>
  </si>
  <si>
    <t>gpu_name_tpu</t>
  </si>
  <si>
    <t>Geforce RTX 3060</t>
  </si>
  <si>
    <t>Radeon RX 6500 XT</t>
  </si>
  <si>
    <t>rx_6500_xt_problems</t>
  </si>
  <si>
    <t>poor PCI. E 3.0 performance, no hardware encoding ( thus, screen capturing on gpu not supported), only 2 display output ports; it's basically a laptop card turned into a desktop card)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</si>
</sst>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/>
    <xf numFmtId="0" fontId="3" fillId="2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3" fillId="2" borderId="0" xfId="2"/>
    <xf numFmtId="43" fontId="3" fillId="2" borderId="0" xfId="2" applyNumberFormat="1"/>
    <xf numFmtId="43" fontId="0" fillId="0" borderId="0" xfId="1" applyFont="1"/>
    <xf numFmtId="0" fontId="5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0" fillId="0" borderId="0" xfId="0" applyNumberFormat="1"/>
  </cellXfs>
  <cellStyles count="3">
    <cellStyle name="Comma" xfId="1" builtinId="3"/>
    <cellStyle name="Good" xfId="2" builtinId="26"/>
    <cellStyle name="Normal" xfId="0" builtinId="0"/>
  </cellStyles>
  <dxfs count="3">
    <dxf>
      <numFmt numFmtId="0" formatCode="General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indexed="65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G54" totalsRowShown="0" headerRowDxfId="2">
  <autoFilter ref="A1:G54"/>
  <tableColumns count="7">
    <tableColumn id="1" name="gpu_unit_name"/>
    <tableColumn id="2" name="performance" dataDxfId="1"/>
    <tableColumn id="3" name="base_tier_score">
      <calculatedColumnFormula>B2/100</calculatedColumnFormula>
    </tableColumn>
    <tableColumn id="4" name="positive_comment_code" dataDxfId="0">
      <calculatedColumnFormula>VLOOKUP(A2,$U$2:$Y$58,2,FALSE)</calculatedColumnFormula>
    </tableColumn>
    <tableColumn id="5" name="negative_comment_code"/>
    <tableColumn id="6" name="launch_msrp_usd">
      <calculatedColumnFormula>VLOOKUP(A2,$U$2:$Y$58,4,FALSE)</calculatedColumnFormula>
    </tableColumn>
    <tableColumn id="7" name="launch_msrp_bdt_current_market">
      <calculatedColumnFormula>F2*125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8"/>
  <sheetViews>
    <sheetView topLeftCell="A22" workbookViewId="0">
      <pane xSplit="1" topLeftCell="B1" activePane="topRight" state="frozen"/>
      <selection activeCell="A13" sqref="A13"/>
      <selection pane="topRight" activeCell="F55" sqref="F55"/>
    </sheetView>
  </sheetViews>
  <sheetFormatPr defaultRowHeight="15" x14ac:dyDescent="0.25"/>
  <cols>
    <col min="1" max="1" width="26.28515625" style="2" bestFit="1" customWidth="1"/>
    <col min="2" max="2" width="14.5703125" style="2" customWidth="1"/>
    <col min="3" max="3" width="17.140625" style="2" customWidth="1"/>
    <col min="4" max="4" width="25" style="2" customWidth="1"/>
    <col min="5" max="5" width="25.5703125" style="2" customWidth="1"/>
    <col min="6" max="6" width="18.5703125" style="2" customWidth="1"/>
    <col min="7" max="7" width="33.140625" style="2" customWidth="1"/>
    <col min="15" max="15" width="14" style="2" customWidth="1"/>
    <col min="16" max="16" width="18" style="2" customWidth="1"/>
    <col min="21" max="21" width="23.140625" style="2" bestFit="1" customWidth="1"/>
    <col min="25" max="25" width="14.85546875" style="2" customWidth="1"/>
    <col min="28" max="28" width="16.28515625" style="2" bestFit="1" customWidth="1"/>
  </cols>
  <sheetData>
    <row r="1" spans="1:25" x14ac:dyDescent="0.25">
      <c r="A1" s="1" t="s">
        <v>0</v>
      </c>
      <c r="B1" s="1" t="s">
        <v>1</v>
      </c>
      <c r="C1" s="3" t="s">
        <v>2</v>
      </c>
      <c r="D1" s="8" t="s">
        <v>3</v>
      </c>
      <c r="E1" s="8" t="s">
        <v>4</v>
      </c>
      <c r="F1" s="8" t="s">
        <v>5</v>
      </c>
      <c r="G1" s="8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</row>
    <row r="2" spans="1:25" x14ac:dyDescent="0.25">
      <c r="A2" t="s">
        <v>12</v>
      </c>
      <c r="B2">
        <v>121</v>
      </c>
      <c r="C2">
        <f t="shared" ref="C2:C33" si="0">B2/100</f>
        <v>1.21</v>
      </c>
      <c r="E2" t="str">
        <f>VLOOKUP($A2,$U$2:$Y$58,3,FALSE)</f>
        <v>arc_driver_issues</v>
      </c>
      <c r="F2">
        <f>VLOOKUP(A2,$U$2:$Y$58,4,FALSE)</f>
        <v>140</v>
      </c>
      <c r="G2">
        <f>F2*125</f>
        <v>17500</v>
      </c>
      <c r="U2" s="5" t="s">
        <v>13</v>
      </c>
      <c r="V2" s="5"/>
      <c r="W2" s="5"/>
      <c r="X2" s="5">
        <v>140</v>
      </c>
      <c r="Y2" s="6">
        <f t="shared" ref="Y2:Y33" si="1">X2*125</f>
        <v>17500</v>
      </c>
    </row>
    <row r="3" spans="1:25" x14ac:dyDescent="0.25">
      <c r="A3" t="s">
        <v>14</v>
      </c>
      <c r="B3">
        <v>281</v>
      </c>
      <c r="C3">
        <f t="shared" si="0"/>
        <v>2.81</v>
      </c>
      <c r="E3" t="s">
        <v>15</v>
      </c>
      <c r="U3" s="5" t="s">
        <v>16</v>
      </c>
      <c r="V3" s="5"/>
      <c r="W3" s="5"/>
      <c r="X3" s="5">
        <v>300</v>
      </c>
      <c r="Y3" s="6">
        <f t="shared" si="1"/>
        <v>37500</v>
      </c>
    </row>
    <row r="4" spans="1:25" x14ac:dyDescent="0.25">
      <c r="A4" t="s">
        <v>17</v>
      </c>
      <c r="B4">
        <v>301</v>
      </c>
      <c r="C4">
        <f t="shared" si="0"/>
        <v>3.01</v>
      </c>
      <c r="E4" t="s">
        <v>15</v>
      </c>
      <c r="U4" s="5" t="s">
        <v>18</v>
      </c>
      <c r="V4" s="5" t="s">
        <v>19</v>
      </c>
      <c r="W4" s="5"/>
      <c r="X4" s="5">
        <v>150</v>
      </c>
      <c r="Y4" s="6">
        <f t="shared" si="1"/>
        <v>18750</v>
      </c>
    </row>
    <row r="5" spans="1:25" x14ac:dyDescent="0.25">
      <c r="A5" t="s">
        <v>13</v>
      </c>
      <c r="B5">
        <v>100</v>
      </c>
      <c r="C5">
        <f t="shared" si="0"/>
        <v>1</v>
      </c>
      <c r="F5">
        <f t="shared" ref="F5:F14" si="2">VLOOKUP(A5,$U$2:$Y$58,4,FALSE)</f>
        <v>140</v>
      </c>
      <c r="G5">
        <f t="shared" ref="G5:G33" si="3">F5*125</f>
        <v>17500</v>
      </c>
      <c r="U5" s="5" t="s">
        <v>20</v>
      </c>
      <c r="V5" s="5" t="s">
        <v>19</v>
      </c>
      <c r="W5" s="5"/>
      <c r="X5" s="5">
        <v>150</v>
      </c>
      <c r="Y5" s="6">
        <f t="shared" si="1"/>
        <v>18750</v>
      </c>
    </row>
    <row r="6" spans="1:25" x14ac:dyDescent="0.25">
      <c r="A6" t="s">
        <v>16</v>
      </c>
      <c r="B6">
        <v>160</v>
      </c>
      <c r="C6">
        <f t="shared" si="0"/>
        <v>1.6</v>
      </c>
      <c r="F6">
        <f t="shared" si="2"/>
        <v>300</v>
      </c>
      <c r="G6">
        <f t="shared" si="3"/>
        <v>37500</v>
      </c>
      <c r="U6" s="5" t="s">
        <v>21</v>
      </c>
      <c r="V6" s="5"/>
      <c r="W6" s="5"/>
      <c r="X6" s="5">
        <v>160</v>
      </c>
      <c r="Y6" s="6">
        <f t="shared" si="1"/>
        <v>20000</v>
      </c>
    </row>
    <row r="7" spans="1:25" x14ac:dyDescent="0.25">
      <c r="A7" t="s">
        <v>18</v>
      </c>
      <c r="B7">
        <v>125</v>
      </c>
      <c r="C7">
        <f t="shared" si="0"/>
        <v>1.25</v>
      </c>
      <c r="D7" t="str">
        <f>VLOOKUP($A7,$U$2:$Y$58,2,FALSE)</f>
        <v>low_power low_profile</v>
      </c>
      <c r="F7">
        <f t="shared" si="2"/>
        <v>150</v>
      </c>
      <c r="G7">
        <f t="shared" si="3"/>
        <v>18750</v>
      </c>
      <c r="U7" s="5" t="s">
        <v>22</v>
      </c>
      <c r="V7" s="5"/>
      <c r="W7" s="5"/>
      <c r="X7" s="5">
        <v>220</v>
      </c>
      <c r="Y7" s="6">
        <f t="shared" si="1"/>
        <v>27500</v>
      </c>
    </row>
    <row r="8" spans="1:25" x14ac:dyDescent="0.25">
      <c r="A8" t="s">
        <v>20</v>
      </c>
      <c r="B8">
        <v>139</v>
      </c>
      <c r="C8">
        <f t="shared" si="0"/>
        <v>1.39</v>
      </c>
      <c r="D8" t="str">
        <f>VLOOKUP(A8,$U$2:$Y$58,2,FALSE)</f>
        <v>low_power low_profile</v>
      </c>
      <c r="F8">
        <f t="shared" si="2"/>
        <v>150</v>
      </c>
      <c r="G8">
        <f t="shared" si="3"/>
        <v>18750</v>
      </c>
      <c r="U8" s="5" t="s">
        <v>23</v>
      </c>
      <c r="V8" s="5"/>
      <c r="W8" s="5"/>
      <c r="X8" s="5">
        <v>230</v>
      </c>
      <c r="Y8" s="6">
        <f t="shared" si="1"/>
        <v>28750</v>
      </c>
    </row>
    <row r="9" spans="1:25" x14ac:dyDescent="0.25">
      <c r="A9" t="s">
        <v>24</v>
      </c>
      <c r="B9">
        <v>169</v>
      </c>
      <c r="C9">
        <f t="shared" si="0"/>
        <v>1.69</v>
      </c>
      <c r="F9">
        <f t="shared" si="2"/>
        <v>160</v>
      </c>
      <c r="G9">
        <f t="shared" si="3"/>
        <v>20000</v>
      </c>
      <c r="U9" s="5" t="s">
        <v>25</v>
      </c>
      <c r="V9" s="5"/>
      <c r="W9" s="5"/>
      <c r="X9" s="5">
        <v>280</v>
      </c>
      <c r="Y9" s="6">
        <f t="shared" si="1"/>
        <v>35000</v>
      </c>
    </row>
    <row r="10" spans="1:25" x14ac:dyDescent="0.25">
      <c r="A10" t="s">
        <v>22</v>
      </c>
      <c r="B10">
        <v>187</v>
      </c>
      <c r="C10">
        <f t="shared" si="0"/>
        <v>1.87</v>
      </c>
      <c r="F10">
        <f t="shared" si="2"/>
        <v>220</v>
      </c>
      <c r="G10">
        <f t="shared" si="3"/>
        <v>27500</v>
      </c>
      <c r="U10" t="s">
        <v>26</v>
      </c>
      <c r="V10" t="s">
        <v>27</v>
      </c>
      <c r="X10">
        <v>300</v>
      </c>
      <c r="Y10" s="7">
        <f t="shared" si="1"/>
        <v>37500</v>
      </c>
    </row>
    <row r="11" spans="1:25" x14ac:dyDescent="0.25">
      <c r="A11" t="s">
        <v>28</v>
      </c>
      <c r="B11">
        <v>210</v>
      </c>
      <c r="C11">
        <f t="shared" si="0"/>
        <v>2.1</v>
      </c>
      <c r="F11">
        <f t="shared" si="2"/>
        <v>230</v>
      </c>
      <c r="G11">
        <f t="shared" si="3"/>
        <v>28750</v>
      </c>
      <c r="U11" t="s">
        <v>29</v>
      </c>
      <c r="V11" t="s">
        <v>27</v>
      </c>
      <c r="X11">
        <v>400</v>
      </c>
      <c r="Y11" s="7">
        <f t="shared" si="1"/>
        <v>50000</v>
      </c>
    </row>
    <row r="12" spans="1:25" x14ac:dyDescent="0.25">
      <c r="A12" t="s">
        <v>25</v>
      </c>
      <c r="B12">
        <v>215</v>
      </c>
      <c r="C12">
        <f t="shared" si="0"/>
        <v>2.15</v>
      </c>
      <c r="F12">
        <f t="shared" si="2"/>
        <v>280</v>
      </c>
      <c r="G12">
        <f t="shared" si="3"/>
        <v>35000</v>
      </c>
      <c r="U12" t="s">
        <v>30</v>
      </c>
      <c r="V12" t="s">
        <v>27</v>
      </c>
      <c r="X12">
        <v>500</v>
      </c>
      <c r="Y12" s="7">
        <f t="shared" si="1"/>
        <v>62500</v>
      </c>
    </row>
    <row r="13" spans="1:25" x14ac:dyDescent="0.25">
      <c r="A13" t="s">
        <v>26</v>
      </c>
      <c r="B13">
        <v>253</v>
      </c>
      <c r="C13">
        <f t="shared" si="0"/>
        <v>2.5299999999999998</v>
      </c>
      <c r="D13" t="str">
        <f>VLOOKUP(A13,$U$2:$Y$58,2,FALSE)</f>
        <v>rt_1 dlss_2</v>
      </c>
      <c r="F13">
        <f t="shared" si="2"/>
        <v>300</v>
      </c>
      <c r="G13">
        <f t="shared" si="3"/>
        <v>37500</v>
      </c>
      <c r="U13" t="s">
        <v>31</v>
      </c>
      <c r="V13" t="s">
        <v>27</v>
      </c>
      <c r="X13">
        <v>500</v>
      </c>
      <c r="Y13" s="7">
        <f t="shared" si="1"/>
        <v>62500</v>
      </c>
    </row>
    <row r="14" spans="1:25" x14ac:dyDescent="0.25">
      <c r="A14" t="s">
        <v>32</v>
      </c>
      <c r="B14">
        <v>284</v>
      </c>
      <c r="C14">
        <f t="shared" si="0"/>
        <v>2.84</v>
      </c>
      <c r="D14" t="str">
        <f>VLOOKUP(A14,$U$2:$Y$58,2,FALSE)</f>
        <v>rt_1 dlss_2</v>
      </c>
      <c r="F14">
        <f t="shared" si="2"/>
        <v>400</v>
      </c>
      <c r="G14">
        <f t="shared" si="3"/>
        <v>50000</v>
      </c>
      <c r="U14" t="s">
        <v>33</v>
      </c>
      <c r="V14" t="s">
        <v>27</v>
      </c>
      <c r="X14">
        <v>700</v>
      </c>
      <c r="Y14" s="7">
        <f t="shared" si="1"/>
        <v>87500</v>
      </c>
    </row>
    <row r="15" spans="1:25" x14ac:dyDescent="0.25">
      <c r="A15" t="s">
        <v>34</v>
      </c>
      <c r="B15">
        <v>295</v>
      </c>
      <c r="C15">
        <f t="shared" si="0"/>
        <v>2.95</v>
      </c>
      <c r="F15">
        <v>500</v>
      </c>
      <c r="G15">
        <f t="shared" si="3"/>
        <v>62500</v>
      </c>
      <c r="U15" t="s">
        <v>35</v>
      </c>
      <c r="V15" t="s">
        <v>27</v>
      </c>
      <c r="X15">
        <v>700</v>
      </c>
      <c r="Y15" s="7">
        <f t="shared" si="1"/>
        <v>87500</v>
      </c>
    </row>
    <row r="16" spans="1:25" x14ac:dyDescent="0.25">
      <c r="A16" t="s">
        <v>36</v>
      </c>
      <c r="B16">
        <v>326</v>
      </c>
      <c r="C16">
        <f t="shared" si="0"/>
        <v>3.26</v>
      </c>
      <c r="D16" t="str">
        <f t="shared" ref="D16:D33" si="4">VLOOKUP(A16,$U$2:$Y$58,2,FALSE)</f>
        <v>rt_1 dlss_2</v>
      </c>
      <c r="F16">
        <f t="shared" ref="F16:F33" si="5">VLOOKUP(A16,$U$2:$Y$58,4,FALSE)</f>
        <v>500</v>
      </c>
      <c r="G16">
        <f t="shared" si="3"/>
        <v>62500</v>
      </c>
      <c r="U16" t="s">
        <v>37</v>
      </c>
      <c r="V16" t="s">
        <v>27</v>
      </c>
      <c r="X16">
        <v>1000</v>
      </c>
      <c r="Y16" s="7">
        <f t="shared" si="1"/>
        <v>125000</v>
      </c>
    </row>
    <row r="17" spans="1:25" x14ac:dyDescent="0.25">
      <c r="A17" t="s">
        <v>33</v>
      </c>
      <c r="B17">
        <v>350</v>
      </c>
      <c r="C17">
        <f t="shared" si="0"/>
        <v>3.5</v>
      </c>
      <c r="D17" t="str">
        <f t="shared" si="4"/>
        <v>rt_1 dlss_2</v>
      </c>
      <c r="F17">
        <f t="shared" si="5"/>
        <v>700</v>
      </c>
      <c r="G17">
        <f t="shared" si="3"/>
        <v>87500</v>
      </c>
      <c r="U17" t="s">
        <v>38</v>
      </c>
      <c r="V17" t="s">
        <v>39</v>
      </c>
      <c r="X17">
        <v>250</v>
      </c>
      <c r="Y17" s="7">
        <f t="shared" si="1"/>
        <v>31250</v>
      </c>
    </row>
    <row r="18" spans="1:25" x14ac:dyDescent="0.25">
      <c r="A18" t="s">
        <v>40</v>
      </c>
      <c r="B18">
        <v>367</v>
      </c>
      <c r="C18">
        <f t="shared" si="0"/>
        <v>3.67</v>
      </c>
      <c r="D18" t="str">
        <f t="shared" si="4"/>
        <v>rt_1 dlss_2</v>
      </c>
      <c r="F18">
        <f t="shared" si="5"/>
        <v>700</v>
      </c>
      <c r="G18">
        <f t="shared" si="3"/>
        <v>87500</v>
      </c>
      <c r="U18" t="s">
        <v>41</v>
      </c>
      <c r="V18" t="s">
        <v>39</v>
      </c>
      <c r="X18">
        <v>330</v>
      </c>
      <c r="Y18" s="7">
        <f t="shared" si="1"/>
        <v>41250</v>
      </c>
    </row>
    <row r="19" spans="1:25" x14ac:dyDescent="0.25">
      <c r="A19" t="s">
        <v>37</v>
      </c>
      <c r="B19">
        <v>413</v>
      </c>
      <c r="C19">
        <f t="shared" si="0"/>
        <v>4.13</v>
      </c>
      <c r="D19" t="str">
        <f t="shared" si="4"/>
        <v>rt_1 dlss_2</v>
      </c>
      <c r="F19">
        <f t="shared" si="5"/>
        <v>1000</v>
      </c>
      <c r="G19">
        <f t="shared" si="3"/>
        <v>125000</v>
      </c>
      <c r="U19" t="s">
        <v>42</v>
      </c>
      <c r="V19" t="s">
        <v>39</v>
      </c>
      <c r="X19">
        <v>330</v>
      </c>
      <c r="Y19" s="7">
        <f t="shared" si="1"/>
        <v>41250</v>
      </c>
    </row>
    <row r="20" spans="1:25" x14ac:dyDescent="0.25">
      <c r="A20" t="s">
        <v>38</v>
      </c>
      <c r="B20">
        <v>218</v>
      </c>
      <c r="C20">
        <f t="shared" si="0"/>
        <v>2.1800000000000002</v>
      </c>
      <c r="D20" t="str">
        <f t="shared" si="4"/>
        <v>rt_2 dlss_2</v>
      </c>
      <c r="F20">
        <f t="shared" si="5"/>
        <v>250</v>
      </c>
      <c r="G20">
        <f t="shared" si="3"/>
        <v>31250</v>
      </c>
      <c r="U20" t="s">
        <v>43</v>
      </c>
      <c r="V20" t="s">
        <v>39</v>
      </c>
      <c r="X20">
        <v>400</v>
      </c>
      <c r="Y20" s="7">
        <f t="shared" si="1"/>
        <v>50000</v>
      </c>
    </row>
    <row r="21" spans="1:25" x14ac:dyDescent="0.25">
      <c r="A21" t="s">
        <v>41</v>
      </c>
      <c r="B21">
        <v>270</v>
      </c>
      <c r="C21">
        <f t="shared" si="0"/>
        <v>2.7</v>
      </c>
      <c r="D21" t="str">
        <f t="shared" si="4"/>
        <v>rt_2 dlss_2</v>
      </c>
      <c r="F21">
        <f t="shared" si="5"/>
        <v>330</v>
      </c>
      <c r="G21">
        <f t="shared" si="3"/>
        <v>41250</v>
      </c>
      <c r="U21" t="s">
        <v>44</v>
      </c>
      <c r="V21" t="s">
        <v>39</v>
      </c>
      <c r="X21">
        <v>500</v>
      </c>
      <c r="Y21" s="7">
        <f t="shared" si="1"/>
        <v>62500</v>
      </c>
    </row>
    <row r="22" spans="1:25" x14ac:dyDescent="0.25">
      <c r="A22" t="s">
        <v>42</v>
      </c>
      <c r="B22">
        <v>301</v>
      </c>
      <c r="C22">
        <f t="shared" si="0"/>
        <v>3.01</v>
      </c>
      <c r="D22" t="str">
        <f t="shared" si="4"/>
        <v>rt_2 dlss_2</v>
      </c>
      <c r="F22">
        <f t="shared" si="5"/>
        <v>330</v>
      </c>
      <c r="G22">
        <f t="shared" si="3"/>
        <v>41250</v>
      </c>
      <c r="U22" t="s">
        <v>45</v>
      </c>
      <c r="V22" t="s">
        <v>39</v>
      </c>
      <c r="X22">
        <v>600</v>
      </c>
      <c r="Y22" s="7">
        <f t="shared" si="1"/>
        <v>75000</v>
      </c>
    </row>
    <row r="23" spans="1:25" x14ac:dyDescent="0.25">
      <c r="A23" t="s">
        <v>43</v>
      </c>
      <c r="B23">
        <v>376</v>
      </c>
      <c r="C23">
        <f t="shared" si="0"/>
        <v>3.76</v>
      </c>
      <c r="D23" t="str">
        <f t="shared" si="4"/>
        <v>rt_2 dlss_2</v>
      </c>
      <c r="F23">
        <f t="shared" si="5"/>
        <v>400</v>
      </c>
      <c r="G23">
        <f t="shared" si="3"/>
        <v>50000</v>
      </c>
      <c r="U23" t="s">
        <v>46</v>
      </c>
      <c r="V23" t="s">
        <v>39</v>
      </c>
      <c r="X23">
        <v>700</v>
      </c>
      <c r="Y23" s="7">
        <f t="shared" si="1"/>
        <v>87500</v>
      </c>
    </row>
    <row r="24" spans="1:25" x14ac:dyDescent="0.25">
      <c r="A24" t="s">
        <v>44</v>
      </c>
      <c r="B24">
        <v>441</v>
      </c>
      <c r="C24">
        <f t="shared" si="0"/>
        <v>4.41</v>
      </c>
      <c r="D24" t="str">
        <f t="shared" si="4"/>
        <v>rt_2 dlss_2</v>
      </c>
      <c r="F24">
        <f t="shared" si="5"/>
        <v>500</v>
      </c>
      <c r="G24">
        <f t="shared" si="3"/>
        <v>62500</v>
      </c>
      <c r="U24" t="s">
        <v>47</v>
      </c>
      <c r="V24" t="s">
        <v>39</v>
      </c>
      <c r="X24">
        <v>800</v>
      </c>
      <c r="Y24" s="7">
        <f t="shared" si="1"/>
        <v>100000</v>
      </c>
    </row>
    <row r="25" spans="1:25" x14ac:dyDescent="0.25">
      <c r="A25" t="s">
        <v>45</v>
      </c>
      <c r="B25">
        <v>472</v>
      </c>
      <c r="C25">
        <f t="shared" si="0"/>
        <v>4.72</v>
      </c>
      <c r="D25" t="str">
        <f t="shared" si="4"/>
        <v>rt_2 dlss_2</v>
      </c>
      <c r="F25">
        <f t="shared" si="5"/>
        <v>600</v>
      </c>
      <c r="G25">
        <f t="shared" si="3"/>
        <v>75000</v>
      </c>
      <c r="U25" t="s">
        <v>48</v>
      </c>
      <c r="V25" t="s">
        <v>39</v>
      </c>
      <c r="X25">
        <v>1200</v>
      </c>
      <c r="Y25" s="7">
        <f t="shared" si="1"/>
        <v>150000</v>
      </c>
    </row>
    <row r="26" spans="1:25" x14ac:dyDescent="0.25">
      <c r="A26" t="s">
        <v>46</v>
      </c>
      <c r="B26">
        <v>546</v>
      </c>
      <c r="C26">
        <f t="shared" si="0"/>
        <v>5.46</v>
      </c>
      <c r="D26" t="str">
        <f t="shared" si="4"/>
        <v>rt_2 dlss_2</v>
      </c>
      <c r="F26">
        <f t="shared" si="5"/>
        <v>700</v>
      </c>
      <c r="G26">
        <f t="shared" si="3"/>
        <v>87500</v>
      </c>
      <c r="U26" t="s">
        <v>49</v>
      </c>
      <c r="V26" t="s">
        <v>39</v>
      </c>
      <c r="X26">
        <v>1500</v>
      </c>
      <c r="Y26" s="7">
        <f t="shared" si="1"/>
        <v>187500</v>
      </c>
    </row>
    <row r="27" spans="1:25" x14ac:dyDescent="0.25">
      <c r="A27" t="s">
        <v>47</v>
      </c>
      <c r="B27">
        <v>573</v>
      </c>
      <c r="C27">
        <f t="shared" si="0"/>
        <v>5.73</v>
      </c>
      <c r="D27" t="str">
        <f t="shared" si="4"/>
        <v>rt_2 dlss_2</v>
      </c>
      <c r="F27">
        <f t="shared" si="5"/>
        <v>800</v>
      </c>
      <c r="G27">
        <f t="shared" si="3"/>
        <v>100000</v>
      </c>
      <c r="U27" t="s">
        <v>50</v>
      </c>
      <c r="V27" t="s">
        <v>39</v>
      </c>
      <c r="X27">
        <v>2000</v>
      </c>
      <c r="Y27" s="7">
        <f t="shared" si="1"/>
        <v>250000</v>
      </c>
    </row>
    <row r="28" spans="1:25" x14ac:dyDescent="0.25">
      <c r="A28" t="s">
        <v>48</v>
      </c>
      <c r="B28">
        <v>642</v>
      </c>
      <c r="C28">
        <f t="shared" si="0"/>
        <v>6.42</v>
      </c>
      <c r="D28" t="str">
        <f t="shared" si="4"/>
        <v>rt_2 dlss_2</v>
      </c>
      <c r="F28">
        <f t="shared" si="5"/>
        <v>1200</v>
      </c>
      <c r="G28">
        <f t="shared" si="3"/>
        <v>150000</v>
      </c>
      <c r="U28" t="s">
        <v>51</v>
      </c>
      <c r="V28" t="s">
        <v>52</v>
      </c>
      <c r="X28">
        <v>800</v>
      </c>
      <c r="Y28" s="7">
        <f t="shared" si="1"/>
        <v>100000</v>
      </c>
    </row>
    <row r="29" spans="1:25" x14ac:dyDescent="0.25">
      <c r="A29" t="s">
        <v>49</v>
      </c>
      <c r="B29">
        <v>648</v>
      </c>
      <c r="C29">
        <f t="shared" si="0"/>
        <v>6.48</v>
      </c>
      <c r="D29" t="str">
        <f t="shared" si="4"/>
        <v>rt_2 dlss_2</v>
      </c>
      <c r="E29" t="s">
        <v>53</v>
      </c>
      <c r="F29">
        <f t="shared" si="5"/>
        <v>1500</v>
      </c>
      <c r="G29">
        <f t="shared" si="3"/>
        <v>187500</v>
      </c>
      <c r="U29" t="s">
        <v>54</v>
      </c>
      <c r="V29" t="s">
        <v>52</v>
      </c>
      <c r="X29">
        <v>1200</v>
      </c>
      <c r="Y29" s="7">
        <f t="shared" si="1"/>
        <v>150000</v>
      </c>
    </row>
    <row r="30" spans="1:25" x14ac:dyDescent="0.25">
      <c r="A30" t="s">
        <v>50</v>
      </c>
      <c r="B30">
        <v>700</v>
      </c>
      <c r="C30">
        <f t="shared" si="0"/>
        <v>7</v>
      </c>
      <c r="D30" t="str">
        <f t="shared" si="4"/>
        <v>rt_2 dlss_2</v>
      </c>
      <c r="E30" t="s">
        <v>53</v>
      </c>
      <c r="F30">
        <f t="shared" si="5"/>
        <v>2000</v>
      </c>
      <c r="G30">
        <f t="shared" si="3"/>
        <v>250000</v>
      </c>
      <c r="U30" t="s">
        <v>55</v>
      </c>
      <c r="V30" t="s">
        <v>52</v>
      </c>
      <c r="X30">
        <v>1600</v>
      </c>
      <c r="Y30" s="7">
        <f t="shared" si="1"/>
        <v>200000</v>
      </c>
    </row>
    <row r="31" spans="1:25" x14ac:dyDescent="0.25">
      <c r="A31" t="s">
        <v>54</v>
      </c>
      <c r="B31">
        <v>811</v>
      </c>
      <c r="C31">
        <f t="shared" si="0"/>
        <v>8.11</v>
      </c>
      <c r="D31" t="str">
        <f t="shared" si="4"/>
        <v>rt_3 dlss_2 dlss_3</v>
      </c>
      <c r="E31" t="s">
        <v>53</v>
      </c>
      <c r="F31">
        <f t="shared" si="5"/>
        <v>1200</v>
      </c>
      <c r="G31">
        <f t="shared" si="3"/>
        <v>150000</v>
      </c>
      <c r="U31" s="5" t="s">
        <v>56</v>
      </c>
      <c r="V31" s="5"/>
      <c r="W31" s="5"/>
      <c r="X31" s="5">
        <v>170</v>
      </c>
      <c r="Y31" s="6">
        <f t="shared" si="1"/>
        <v>21250</v>
      </c>
    </row>
    <row r="32" spans="1:25" x14ac:dyDescent="0.25">
      <c r="A32" t="s">
        <v>55</v>
      </c>
      <c r="B32">
        <v>1014</v>
      </c>
      <c r="C32">
        <f t="shared" si="0"/>
        <v>10.14</v>
      </c>
      <c r="D32" t="str">
        <f t="shared" si="4"/>
        <v>rt_3 dlss_2 dlss_3</v>
      </c>
      <c r="E32" t="s">
        <v>53</v>
      </c>
      <c r="F32">
        <f t="shared" si="5"/>
        <v>1600</v>
      </c>
      <c r="G32">
        <f t="shared" si="3"/>
        <v>200000</v>
      </c>
      <c r="U32" s="5" t="s">
        <v>57</v>
      </c>
      <c r="V32" s="5"/>
      <c r="W32" s="5"/>
      <c r="X32" s="5">
        <v>230</v>
      </c>
      <c r="Y32" s="6">
        <f t="shared" si="1"/>
        <v>28750</v>
      </c>
    </row>
    <row r="33" spans="1:25" x14ac:dyDescent="0.25">
      <c r="A33" t="s">
        <v>51</v>
      </c>
      <c r="B33">
        <v>668</v>
      </c>
      <c r="C33">
        <f t="shared" si="0"/>
        <v>6.68</v>
      </c>
      <c r="D33" t="str">
        <f t="shared" si="4"/>
        <v>rt_3 dlss_2 dlss_3</v>
      </c>
      <c r="F33">
        <f t="shared" si="5"/>
        <v>800</v>
      </c>
      <c r="G33">
        <f t="shared" si="3"/>
        <v>100000</v>
      </c>
      <c r="U33" s="5" t="s">
        <v>58</v>
      </c>
      <c r="V33" s="5"/>
      <c r="W33" s="5"/>
      <c r="X33" s="5">
        <v>280</v>
      </c>
      <c r="Y33" s="6">
        <f t="shared" si="1"/>
        <v>35000</v>
      </c>
    </row>
    <row r="34" spans="1:25" x14ac:dyDescent="0.25">
      <c r="A34" t="s">
        <v>59</v>
      </c>
      <c r="B34">
        <v>162</v>
      </c>
      <c r="C34">
        <f t="shared" ref="C34:C65" si="6">B34/100</f>
        <v>1.62</v>
      </c>
      <c r="U34" t="s">
        <v>59</v>
      </c>
      <c r="Y34" s="7"/>
    </row>
    <row r="35" spans="1:25" x14ac:dyDescent="0.25">
      <c r="A35" t="s">
        <v>60</v>
      </c>
      <c r="B35">
        <v>142</v>
      </c>
      <c r="C35">
        <f t="shared" si="6"/>
        <v>1.42</v>
      </c>
      <c r="F35">
        <f t="shared" ref="F35:F42" si="7">VLOOKUP(A35,$U$2:$Y$58,4,FALSE)</f>
        <v>170</v>
      </c>
      <c r="G35">
        <f t="shared" ref="G35:G53" si="8">F35*125</f>
        <v>21250</v>
      </c>
      <c r="U35" t="s">
        <v>60</v>
      </c>
      <c r="X35">
        <v>170</v>
      </c>
      <c r="Y35" s="7">
        <f>X35*125</f>
        <v>21250</v>
      </c>
    </row>
    <row r="36" spans="1:25" x14ac:dyDescent="0.25">
      <c r="A36" t="s">
        <v>61</v>
      </c>
      <c r="B36">
        <v>165</v>
      </c>
      <c r="C36">
        <f t="shared" si="6"/>
        <v>1.65</v>
      </c>
      <c r="F36">
        <f t="shared" si="7"/>
        <v>200</v>
      </c>
      <c r="G36">
        <f t="shared" si="8"/>
        <v>25000</v>
      </c>
      <c r="U36" t="s">
        <v>61</v>
      </c>
      <c r="X36">
        <v>200</v>
      </c>
      <c r="Y36" s="7">
        <f>X36*125</f>
        <v>25000</v>
      </c>
    </row>
    <row r="37" spans="1:25" x14ac:dyDescent="0.25">
      <c r="A37" t="s">
        <v>62</v>
      </c>
      <c r="B37">
        <v>246</v>
      </c>
      <c r="C37">
        <f t="shared" si="6"/>
        <v>2.46</v>
      </c>
      <c r="F37">
        <f t="shared" si="7"/>
        <v>280</v>
      </c>
      <c r="G37">
        <f t="shared" si="8"/>
        <v>35000</v>
      </c>
      <c r="U37" t="s">
        <v>63</v>
      </c>
      <c r="Y37" s="7"/>
    </row>
    <row r="38" spans="1:25" x14ac:dyDescent="0.25">
      <c r="A38" t="s">
        <v>56</v>
      </c>
      <c r="B38">
        <v>142</v>
      </c>
      <c r="C38">
        <f t="shared" si="6"/>
        <v>1.42</v>
      </c>
      <c r="F38">
        <f t="shared" si="7"/>
        <v>170</v>
      </c>
      <c r="G38">
        <f t="shared" si="8"/>
        <v>21250</v>
      </c>
      <c r="U38" t="s">
        <v>62</v>
      </c>
      <c r="X38">
        <v>280</v>
      </c>
      <c r="Y38" s="7">
        <f t="shared" ref="Y38:Y43" si="9">X38*125</f>
        <v>35000</v>
      </c>
    </row>
    <row r="39" spans="1:25" x14ac:dyDescent="0.25">
      <c r="A39" t="s">
        <v>64</v>
      </c>
      <c r="B39">
        <v>263</v>
      </c>
      <c r="C39">
        <f t="shared" si="6"/>
        <v>2.63</v>
      </c>
      <c r="F39">
        <f t="shared" si="7"/>
        <v>350</v>
      </c>
      <c r="G39">
        <f t="shared" si="8"/>
        <v>43750</v>
      </c>
      <c r="U39" t="s">
        <v>64</v>
      </c>
      <c r="X39">
        <v>350</v>
      </c>
      <c r="Y39" s="7">
        <f t="shared" si="9"/>
        <v>43750</v>
      </c>
    </row>
    <row r="40" spans="1:25" x14ac:dyDescent="0.25">
      <c r="A40" t="s">
        <v>65</v>
      </c>
      <c r="B40">
        <v>302</v>
      </c>
      <c r="C40">
        <f t="shared" si="6"/>
        <v>3.02</v>
      </c>
      <c r="F40">
        <f t="shared" si="7"/>
        <v>400</v>
      </c>
      <c r="G40">
        <f t="shared" si="8"/>
        <v>50000</v>
      </c>
      <c r="U40" t="s">
        <v>65</v>
      </c>
      <c r="X40">
        <v>400</v>
      </c>
      <c r="Y40" s="7">
        <f t="shared" si="9"/>
        <v>50000</v>
      </c>
    </row>
    <row r="41" spans="1:25" x14ac:dyDescent="0.25">
      <c r="A41" t="s">
        <v>57</v>
      </c>
      <c r="B41">
        <v>164</v>
      </c>
      <c r="C41">
        <f t="shared" si="6"/>
        <v>1.64</v>
      </c>
      <c r="F41">
        <f t="shared" si="7"/>
        <v>230</v>
      </c>
      <c r="G41">
        <f t="shared" si="8"/>
        <v>28750</v>
      </c>
      <c r="U41" t="s">
        <v>66</v>
      </c>
      <c r="V41" t="s">
        <v>67</v>
      </c>
      <c r="X41">
        <v>330</v>
      </c>
      <c r="Y41" s="7">
        <f t="shared" si="9"/>
        <v>41250</v>
      </c>
    </row>
    <row r="42" spans="1:25" x14ac:dyDescent="0.25">
      <c r="A42" t="s">
        <v>58</v>
      </c>
      <c r="B42">
        <v>177</v>
      </c>
      <c r="C42">
        <f t="shared" si="6"/>
        <v>1.77</v>
      </c>
      <c r="F42">
        <f t="shared" si="7"/>
        <v>280</v>
      </c>
      <c r="G42">
        <f t="shared" si="8"/>
        <v>35000</v>
      </c>
      <c r="U42" t="s">
        <v>68</v>
      </c>
      <c r="V42" t="s">
        <v>67</v>
      </c>
      <c r="X42">
        <v>380</v>
      </c>
      <c r="Y42" s="7">
        <f t="shared" si="9"/>
        <v>47500</v>
      </c>
    </row>
    <row r="43" spans="1:25" x14ac:dyDescent="0.25">
      <c r="A43" t="s">
        <v>69</v>
      </c>
      <c r="B43">
        <v>282</v>
      </c>
      <c r="C43">
        <f t="shared" si="6"/>
        <v>2.82</v>
      </c>
      <c r="D43" t="s">
        <v>70</v>
      </c>
      <c r="F43">
        <v>330</v>
      </c>
      <c r="G43">
        <f t="shared" si="8"/>
        <v>41250</v>
      </c>
      <c r="U43" t="s">
        <v>71</v>
      </c>
      <c r="V43" t="s">
        <v>67</v>
      </c>
      <c r="X43">
        <v>400</v>
      </c>
      <c r="Y43" s="7">
        <f t="shared" si="9"/>
        <v>50000</v>
      </c>
    </row>
    <row r="44" spans="1:25" x14ac:dyDescent="0.25">
      <c r="A44" t="s">
        <v>68</v>
      </c>
      <c r="B44">
        <v>336</v>
      </c>
      <c r="C44">
        <f t="shared" si="6"/>
        <v>3.36</v>
      </c>
      <c r="D44" t="str">
        <f t="shared" ref="D44:D53" si="10">VLOOKUP(A44,$U$2:$Y$58,2,FALSE)</f>
        <v xml:space="preserve">rt_1  </v>
      </c>
      <c r="F44">
        <f t="shared" ref="F44:F53" si="11">VLOOKUP(A44,$U$2:$Y$58,4,FALSE)</f>
        <v>380</v>
      </c>
      <c r="G44">
        <f t="shared" si="8"/>
        <v>47500</v>
      </c>
      <c r="U44" t="s">
        <v>72</v>
      </c>
      <c r="Y44" s="7"/>
    </row>
    <row r="45" spans="1:25" x14ac:dyDescent="0.25">
      <c r="A45" t="s">
        <v>71</v>
      </c>
      <c r="B45">
        <v>343</v>
      </c>
      <c r="C45">
        <f t="shared" si="6"/>
        <v>3.43</v>
      </c>
      <c r="D45" t="str">
        <f t="shared" si="10"/>
        <v xml:space="preserve">rt_1  </v>
      </c>
      <c r="F45">
        <f t="shared" si="11"/>
        <v>400</v>
      </c>
      <c r="G45">
        <f t="shared" si="8"/>
        <v>50000</v>
      </c>
      <c r="U45" t="s">
        <v>73</v>
      </c>
      <c r="V45" t="s">
        <v>67</v>
      </c>
      <c r="X45">
        <v>480</v>
      </c>
      <c r="Y45" s="7">
        <f t="shared" ref="Y45:Y52" si="12">X45*125</f>
        <v>60000</v>
      </c>
    </row>
    <row r="46" spans="1:25" x14ac:dyDescent="0.25">
      <c r="A46" t="s">
        <v>73</v>
      </c>
      <c r="B46">
        <v>383</v>
      </c>
      <c r="C46">
        <f t="shared" si="6"/>
        <v>3.83</v>
      </c>
      <c r="D46" t="str">
        <f t="shared" si="10"/>
        <v xml:space="preserve">rt_1  </v>
      </c>
      <c r="F46">
        <f t="shared" si="11"/>
        <v>480</v>
      </c>
      <c r="G46">
        <f t="shared" si="8"/>
        <v>60000</v>
      </c>
      <c r="U46" t="s">
        <v>74</v>
      </c>
      <c r="V46" t="s">
        <v>67</v>
      </c>
      <c r="X46">
        <v>550</v>
      </c>
      <c r="Y46" s="7">
        <f t="shared" si="12"/>
        <v>68750</v>
      </c>
    </row>
    <row r="47" spans="1:25" x14ac:dyDescent="0.25">
      <c r="A47" t="s">
        <v>74</v>
      </c>
      <c r="B47">
        <v>414</v>
      </c>
      <c r="C47">
        <f t="shared" si="6"/>
        <v>4.1399999999999997</v>
      </c>
      <c r="D47" t="str">
        <f t="shared" si="10"/>
        <v xml:space="preserve">rt_1  </v>
      </c>
      <c r="F47">
        <f t="shared" si="11"/>
        <v>550</v>
      </c>
      <c r="G47">
        <f t="shared" si="8"/>
        <v>68750</v>
      </c>
      <c r="U47" t="s">
        <v>75</v>
      </c>
      <c r="V47" t="s">
        <v>67</v>
      </c>
      <c r="X47">
        <v>580</v>
      </c>
      <c r="Y47" s="7">
        <f t="shared" si="12"/>
        <v>72500</v>
      </c>
    </row>
    <row r="48" spans="1:25" x14ac:dyDescent="0.25">
      <c r="A48" t="s">
        <v>75</v>
      </c>
      <c r="B48">
        <v>486</v>
      </c>
      <c r="C48">
        <f t="shared" si="6"/>
        <v>4.8600000000000003</v>
      </c>
      <c r="D48" t="str">
        <f t="shared" si="10"/>
        <v xml:space="preserve">rt_1  </v>
      </c>
      <c r="F48">
        <f t="shared" si="11"/>
        <v>580</v>
      </c>
      <c r="G48">
        <f t="shared" si="8"/>
        <v>72500</v>
      </c>
      <c r="U48" t="s">
        <v>76</v>
      </c>
      <c r="V48" t="s">
        <v>67</v>
      </c>
      <c r="X48">
        <v>650</v>
      </c>
      <c r="Y48" s="7">
        <f t="shared" si="12"/>
        <v>81250</v>
      </c>
    </row>
    <row r="49" spans="1:25" x14ac:dyDescent="0.25">
      <c r="A49" t="s">
        <v>76</v>
      </c>
      <c r="B49">
        <v>558</v>
      </c>
      <c r="C49">
        <f t="shared" si="6"/>
        <v>5.58</v>
      </c>
      <c r="D49" t="str">
        <f t="shared" si="10"/>
        <v xml:space="preserve">rt_1  </v>
      </c>
      <c r="F49">
        <f t="shared" si="11"/>
        <v>650</v>
      </c>
      <c r="G49">
        <f t="shared" si="8"/>
        <v>81250</v>
      </c>
      <c r="U49" t="s">
        <v>77</v>
      </c>
      <c r="V49" t="s">
        <v>67</v>
      </c>
      <c r="X49">
        <v>1000</v>
      </c>
      <c r="Y49" s="7">
        <f t="shared" si="12"/>
        <v>125000</v>
      </c>
    </row>
    <row r="50" spans="1:25" x14ac:dyDescent="0.25">
      <c r="A50" t="s">
        <v>77</v>
      </c>
      <c r="B50">
        <v>606</v>
      </c>
      <c r="C50">
        <f t="shared" si="6"/>
        <v>6.06</v>
      </c>
      <c r="D50" t="str">
        <f t="shared" si="10"/>
        <v xml:space="preserve">rt_1  </v>
      </c>
      <c r="F50">
        <f t="shared" si="11"/>
        <v>1000</v>
      </c>
      <c r="G50">
        <f t="shared" si="8"/>
        <v>125000</v>
      </c>
      <c r="U50" t="s">
        <v>78</v>
      </c>
      <c r="V50" t="s">
        <v>67</v>
      </c>
      <c r="X50">
        <v>1100</v>
      </c>
      <c r="Y50" s="7">
        <f t="shared" si="12"/>
        <v>137500</v>
      </c>
    </row>
    <row r="51" spans="1:25" x14ac:dyDescent="0.25">
      <c r="A51" t="s">
        <v>78</v>
      </c>
      <c r="B51">
        <v>643</v>
      </c>
      <c r="C51">
        <f t="shared" si="6"/>
        <v>6.43</v>
      </c>
      <c r="D51" t="str">
        <f t="shared" si="10"/>
        <v xml:space="preserve">rt_1  </v>
      </c>
      <c r="F51">
        <f t="shared" si="11"/>
        <v>1100</v>
      </c>
      <c r="G51">
        <f t="shared" si="8"/>
        <v>137500</v>
      </c>
      <c r="U51" t="s">
        <v>79</v>
      </c>
      <c r="V51" t="s">
        <v>80</v>
      </c>
      <c r="X51">
        <v>900</v>
      </c>
      <c r="Y51" s="7">
        <f t="shared" si="12"/>
        <v>112500</v>
      </c>
    </row>
    <row r="52" spans="1:25" x14ac:dyDescent="0.25">
      <c r="A52" t="s">
        <v>79</v>
      </c>
      <c r="B52">
        <v>706</v>
      </c>
      <c r="C52">
        <f t="shared" si="6"/>
        <v>7.06</v>
      </c>
      <c r="D52" t="str">
        <f t="shared" si="10"/>
        <v xml:space="preserve">rt_2  </v>
      </c>
      <c r="E52" t="s">
        <v>81</v>
      </c>
      <c r="F52">
        <f t="shared" si="11"/>
        <v>900</v>
      </c>
      <c r="G52">
        <f t="shared" si="8"/>
        <v>112500</v>
      </c>
      <c r="U52" t="s">
        <v>82</v>
      </c>
      <c r="V52" t="s">
        <v>80</v>
      </c>
      <c r="X52">
        <v>1000</v>
      </c>
      <c r="Y52" s="7">
        <f t="shared" si="12"/>
        <v>125000</v>
      </c>
    </row>
    <row r="53" spans="1:25" x14ac:dyDescent="0.25">
      <c r="A53" t="s">
        <v>82</v>
      </c>
      <c r="B53">
        <v>844</v>
      </c>
      <c r="C53">
        <f t="shared" si="6"/>
        <v>8.44</v>
      </c>
      <c r="D53" t="str">
        <f t="shared" si="10"/>
        <v xml:space="preserve">rt_2  </v>
      </c>
      <c r="E53" t="s">
        <v>81</v>
      </c>
      <c r="F53">
        <f t="shared" si="11"/>
        <v>1000</v>
      </c>
      <c r="G53">
        <f t="shared" si="8"/>
        <v>125000</v>
      </c>
      <c r="U53" t="s">
        <v>83</v>
      </c>
    </row>
    <row r="54" spans="1:25" x14ac:dyDescent="0.25">
      <c r="A54" s="2" t="s">
        <v>117</v>
      </c>
      <c r="B54" s="10">
        <v>166</v>
      </c>
      <c r="C54" s="2">
        <f>B54/100</f>
        <v>1.66</v>
      </c>
      <c r="D54" s="10" t="s">
        <v>70</v>
      </c>
      <c r="E54" s="2" t="s">
        <v>118</v>
      </c>
      <c r="F54" s="2">
        <v>200</v>
      </c>
      <c r="G54" s="2">
        <f>F54*125</f>
        <v>25000</v>
      </c>
      <c r="U54" t="s">
        <v>12</v>
      </c>
      <c r="W54" t="s">
        <v>15</v>
      </c>
      <c r="X54">
        <v>140</v>
      </c>
      <c r="Y54" s="7">
        <f>X54*125</f>
        <v>17500</v>
      </c>
    </row>
    <row r="55" spans="1:25" x14ac:dyDescent="0.25">
      <c r="U55" t="s">
        <v>84</v>
      </c>
    </row>
    <row r="56" spans="1:25" x14ac:dyDescent="0.25">
      <c r="U56" t="s">
        <v>14</v>
      </c>
    </row>
    <row r="57" spans="1:25" x14ac:dyDescent="0.25">
      <c r="U57" t="s">
        <v>85</v>
      </c>
    </row>
    <row r="58" spans="1:25" x14ac:dyDescent="0.25">
      <c r="U58" t="s">
        <v>86</v>
      </c>
    </row>
  </sheetData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B17" sqref="B17"/>
    </sheetView>
  </sheetViews>
  <sheetFormatPr defaultRowHeight="15" x14ac:dyDescent="0.25"/>
  <cols>
    <col min="1" max="1" width="16.42578125" style="2" bestFit="1" customWidth="1"/>
    <col min="2" max="2" width="96" style="2" customWidth="1"/>
    <col min="3" max="3" width="5.7109375" style="2" bestFit="1" customWidth="1"/>
  </cols>
  <sheetData>
    <row r="1" spans="1:3" x14ac:dyDescent="0.25">
      <c r="A1" s="4" t="s">
        <v>87</v>
      </c>
      <c r="B1" s="4" t="s">
        <v>88</v>
      </c>
      <c r="C1" s="4" t="s">
        <v>89</v>
      </c>
    </row>
    <row r="2" spans="1:3" x14ac:dyDescent="0.25">
      <c r="A2" t="s">
        <v>70</v>
      </c>
      <c r="B2" t="s">
        <v>90</v>
      </c>
      <c r="C2">
        <v>5</v>
      </c>
    </row>
    <row r="3" spans="1:3" x14ac:dyDescent="0.25">
      <c r="A3" t="s">
        <v>91</v>
      </c>
      <c r="B3" t="s">
        <v>92</v>
      </c>
      <c r="C3">
        <v>10</v>
      </c>
    </row>
    <row r="4" spans="1:3" x14ac:dyDescent="0.25">
      <c r="A4" t="s">
        <v>93</v>
      </c>
      <c r="B4" t="s">
        <v>94</v>
      </c>
      <c r="C4">
        <v>15</v>
      </c>
    </row>
    <row r="5" spans="1:3" x14ac:dyDescent="0.25">
      <c r="A5" t="s">
        <v>95</v>
      </c>
      <c r="B5" t="s">
        <v>96</v>
      </c>
      <c r="C5">
        <v>7</v>
      </c>
    </row>
    <row r="6" spans="1:3" x14ac:dyDescent="0.25">
      <c r="A6" t="s">
        <v>97</v>
      </c>
      <c r="B6" t="s">
        <v>98</v>
      </c>
      <c r="C6">
        <v>0</v>
      </c>
    </row>
    <row r="7" spans="1:3" x14ac:dyDescent="0.25">
      <c r="A7" t="s">
        <v>99</v>
      </c>
      <c r="B7" t="s">
        <v>100</v>
      </c>
      <c r="C7">
        <v>5</v>
      </c>
    </row>
    <row r="8" spans="1:3" x14ac:dyDescent="0.25">
      <c r="A8" t="s">
        <v>15</v>
      </c>
      <c r="B8" t="s">
        <v>101</v>
      </c>
      <c r="C8">
        <v>-10</v>
      </c>
    </row>
    <row r="9" spans="1:3" x14ac:dyDescent="0.25">
      <c r="A9" t="s">
        <v>81</v>
      </c>
      <c r="B9" t="s">
        <v>102</v>
      </c>
      <c r="C9">
        <v>-5</v>
      </c>
    </row>
    <row r="10" spans="1:3" x14ac:dyDescent="0.25">
      <c r="A10" t="s">
        <v>103</v>
      </c>
      <c r="B10" t="s">
        <v>104</v>
      </c>
      <c r="C10">
        <v>0</v>
      </c>
    </row>
    <row r="11" spans="1:3" x14ac:dyDescent="0.25">
      <c r="A11" t="s">
        <v>53</v>
      </c>
      <c r="B11" t="s">
        <v>105</v>
      </c>
      <c r="C11">
        <v>-5</v>
      </c>
    </row>
    <row r="12" spans="1:3" x14ac:dyDescent="0.25">
      <c r="A12" t="s">
        <v>106</v>
      </c>
      <c r="B12" t="s">
        <v>107</v>
      </c>
      <c r="C12">
        <v>0</v>
      </c>
    </row>
    <row r="13" spans="1:3" x14ac:dyDescent="0.25">
      <c r="A13" s="2" t="s">
        <v>118</v>
      </c>
      <c r="B13" s="2" t="s">
        <v>119</v>
      </c>
      <c r="C13" s="2">
        <v>-10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3"/>
  <sheetViews>
    <sheetView tabSelected="1" topLeftCell="A31" workbookViewId="0">
      <selection activeCell="F55" sqref="F55"/>
    </sheetView>
  </sheetViews>
  <sheetFormatPr defaultRowHeight="15" x14ac:dyDescent="0.25"/>
  <cols>
    <col min="2" max="2" width="23.140625" bestFit="1" customWidth="1"/>
  </cols>
  <sheetData>
    <row r="1" spans="1:15" x14ac:dyDescent="0.25">
      <c r="B1" s="9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108</v>
      </c>
      <c r="J1" s="9" t="s">
        <v>109</v>
      </c>
      <c r="K1" s="9" t="s">
        <v>110</v>
      </c>
      <c r="L1" s="9" t="s">
        <v>111</v>
      </c>
      <c r="M1" s="9" t="s">
        <v>112</v>
      </c>
      <c r="N1" s="9" t="s">
        <v>113</v>
      </c>
      <c r="O1" s="9" t="s">
        <v>114</v>
      </c>
    </row>
    <row r="2" spans="1:15" x14ac:dyDescent="0.25">
      <c r="A2" s="9">
        <v>0</v>
      </c>
      <c r="B2" t="s">
        <v>12</v>
      </c>
      <c r="C2">
        <v>121</v>
      </c>
      <c r="D2">
        <v>1.21</v>
      </c>
      <c r="F2" t="s">
        <v>15</v>
      </c>
      <c r="G2">
        <v>140</v>
      </c>
      <c r="H2">
        <v>17500</v>
      </c>
      <c r="I2">
        <v>0</v>
      </c>
      <c r="J2">
        <v>-0.1</v>
      </c>
      <c r="K2">
        <v>-0.121</v>
      </c>
      <c r="L2">
        <v>1.089</v>
      </c>
      <c r="M2">
        <v>0</v>
      </c>
      <c r="N2">
        <v>-0.121</v>
      </c>
      <c r="O2">
        <v>1.089</v>
      </c>
    </row>
    <row r="3" spans="1:15" x14ac:dyDescent="0.25">
      <c r="A3" s="9">
        <v>1</v>
      </c>
      <c r="B3" t="s">
        <v>14</v>
      </c>
      <c r="C3">
        <v>281</v>
      </c>
      <c r="D3">
        <v>2.81</v>
      </c>
      <c r="F3" t="s">
        <v>15</v>
      </c>
      <c r="I3">
        <v>0</v>
      </c>
      <c r="J3">
        <v>-0.1</v>
      </c>
      <c r="K3">
        <v>-0.28100000000000003</v>
      </c>
      <c r="L3">
        <v>2.5289999999999999</v>
      </c>
      <c r="M3">
        <v>0</v>
      </c>
      <c r="N3">
        <v>-0.28100000000000003</v>
      </c>
      <c r="O3">
        <v>2.5289999999999999</v>
      </c>
    </row>
    <row r="4" spans="1:15" x14ac:dyDescent="0.25">
      <c r="A4" s="9">
        <v>2</v>
      </c>
      <c r="B4" t="s">
        <v>17</v>
      </c>
      <c r="C4">
        <v>301</v>
      </c>
      <c r="D4">
        <v>3.01</v>
      </c>
      <c r="F4" t="s">
        <v>15</v>
      </c>
      <c r="I4">
        <v>0</v>
      </c>
      <c r="J4">
        <v>-0.1</v>
      </c>
      <c r="K4">
        <v>-0.30099999999999999</v>
      </c>
      <c r="L4">
        <v>2.7090000000000001</v>
      </c>
      <c r="M4">
        <v>0</v>
      </c>
      <c r="N4">
        <v>-0.30099999999999999</v>
      </c>
      <c r="O4">
        <v>2.7090000000000001</v>
      </c>
    </row>
    <row r="5" spans="1:15" x14ac:dyDescent="0.25">
      <c r="A5" s="9">
        <v>3</v>
      </c>
      <c r="B5" t="s">
        <v>13</v>
      </c>
      <c r="C5">
        <v>100</v>
      </c>
      <c r="D5">
        <v>1</v>
      </c>
      <c r="G5">
        <v>140</v>
      </c>
      <c r="H5">
        <v>17500</v>
      </c>
      <c r="I5">
        <v>0</v>
      </c>
      <c r="J5">
        <v>0</v>
      </c>
      <c r="K5">
        <v>0</v>
      </c>
      <c r="L5">
        <v>1</v>
      </c>
      <c r="M5">
        <v>0</v>
      </c>
      <c r="N5">
        <v>0</v>
      </c>
      <c r="O5">
        <v>1</v>
      </c>
    </row>
    <row r="6" spans="1:15" x14ac:dyDescent="0.25">
      <c r="A6" s="9">
        <v>4</v>
      </c>
      <c r="B6" t="s">
        <v>16</v>
      </c>
      <c r="C6">
        <v>160</v>
      </c>
      <c r="D6">
        <v>1.6</v>
      </c>
      <c r="G6">
        <v>300</v>
      </c>
      <c r="H6">
        <v>37500</v>
      </c>
      <c r="I6">
        <v>0</v>
      </c>
      <c r="J6">
        <v>0</v>
      </c>
      <c r="K6">
        <v>0</v>
      </c>
      <c r="L6">
        <v>1.6</v>
      </c>
      <c r="M6">
        <v>0</v>
      </c>
      <c r="N6">
        <v>0</v>
      </c>
      <c r="O6">
        <v>1.6</v>
      </c>
    </row>
    <row r="7" spans="1:15" x14ac:dyDescent="0.25">
      <c r="A7" s="9">
        <v>5</v>
      </c>
      <c r="B7" t="s">
        <v>18</v>
      </c>
      <c r="C7">
        <v>125</v>
      </c>
      <c r="D7">
        <v>1.25</v>
      </c>
      <c r="E7" t="s">
        <v>19</v>
      </c>
      <c r="G7">
        <v>150</v>
      </c>
      <c r="H7">
        <v>18750</v>
      </c>
      <c r="I7">
        <v>0.05</v>
      </c>
      <c r="J7">
        <v>0</v>
      </c>
      <c r="K7">
        <v>6.25E-2</v>
      </c>
      <c r="L7">
        <v>1.3125</v>
      </c>
      <c r="M7">
        <v>0.05</v>
      </c>
      <c r="N7">
        <v>6.25E-2</v>
      </c>
      <c r="O7">
        <v>1.3125</v>
      </c>
    </row>
    <row r="8" spans="1:15" x14ac:dyDescent="0.25">
      <c r="A8" s="9">
        <v>6</v>
      </c>
      <c r="B8" t="s">
        <v>20</v>
      </c>
      <c r="C8">
        <v>139</v>
      </c>
      <c r="D8">
        <v>1.39</v>
      </c>
      <c r="E8" t="s">
        <v>19</v>
      </c>
      <c r="G8">
        <v>150</v>
      </c>
      <c r="H8">
        <v>18750</v>
      </c>
      <c r="I8">
        <v>0.05</v>
      </c>
      <c r="J8">
        <v>0</v>
      </c>
      <c r="K8">
        <v>6.9499999999999992E-2</v>
      </c>
      <c r="L8">
        <v>1.4595</v>
      </c>
      <c r="M8">
        <v>0.05</v>
      </c>
      <c r="N8">
        <v>6.9499999999999992E-2</v>
      </c>
      <c r="O8">
        <v>1.4595</v>
      </c>
    </row>
    <row r="9" spans="1:15" x14ac:dyDescent="0.25">
      <c r="A9" s="9">
        <v>7</v>
      </c>
      <c r="B9" t="s">
        <v>24</v>
      </c>
      <c r="C9">
        <v>169</v>
      </c>
      <c r="D9">
        <v>1.69</v>
      </c>
      <c r="G9">
        <v>160</v>
      </c>
      <c r="H9">
        <v>20000</v>
      </c>
      <c r="I9">
        <v>0</v>
      </c>
      <c r="J9">
        <v>0</v>
      </c>
      <c r="K9">
        <v>0</v>
      </c>
      <c r="L9">
        <v>1.69</v>
      </c>
      <c r="M9">
        <v>0</v>
      </c>
      <c r="N9">
        <v>0</v>
      </c>
      <c r="O9">
        <v>1.69</v>
      </c>
    </row>
    <row r="10" spans="1:15" x14ac:dyDescent="0.25">
      <c r="A10" s="9">
        <v>8</v>
      </c>
      <c r="B10" t="s">
        <v>22</v>
      </c>
      <c r="C10">
        <v>187</v>
      </c>
      <c r="D10">
        <v>1.87</v>
      </c>
      <c r="G10">
        <v>220</v>
      </c>
      <c r="H10">
        <v>27500</v>
      </c>
      <c r="I10">
        <v>0</v>
      </c>
      <c r="J10">
        <v>0</v>
      </c>
      <c r="K10">
        <v>0</v>
      </c>
      <c r="L10">
        <v>1.87</v>
      </c>
      <c r="M10">
        <v>0</v>
      </c>
      <c r="N10">
        <v>0</v>
      </c>
      <c r="O10">
        <v>1.87</v>
      </c>
    </row>
    <row r="11" spans="1:15" x14ac:dyDescent="0.25">
      <c r="A11" s="9">
        <v>9</v>
      </c>
      <c r="B11" t="s">
        <v>28</v>
      </c>
      <c r="C11">
        <v>210</v>
      </c>
      <c r="D11">
        <v>2.1</v>
      </c>
      <c r="G11">
        <v>230</v>
      </c>
      <c r="H11">
        <v>28750</v>
      </c>
      <c r="I11">
        <v>0</v>
      </c>
      <c r="J11">
        <v>0</v>
      </c>
      <c r="K11">
        <v>0</v>
      </c>
      <c r="L11">
        <v>2.1</v>
      </c>
      <c r="M11">
        <v>0</v>
      </c>
      <c r="N11">
        <v>0</v>
      </c>
      <c r="O11">
        <v>2.1</v>
      </c>
    </row>
    <row r="12" spans="1:15" x14ac:dyDescent="0.25">
      <c r="A12" s="9">
        <v>10</v>
      </c>
      <c r="B12" t="s">
        <v>25</v>
      </c>
      <c r="C12">
        <v>215</v>
      </c>
      <c r="D12">
        <v>2.15</v>
      </c>
      <c r="G12">
        <v>280</v>
      </c>
      <c r="H12">
        <v>35000</v>
      </c>
      <c r="I12">
        <v>0</v>
      </c>
      <c r="J12">
        <v>0</v>
      </c>
      <c r="K12">
        <v>0</v>
      </c>
      <c r="L12">
        <v>2.15</v>
      </c>
      <c r="M12">
        <v>0</v>
      </c>
      <c r="N12">
        <v>0</v>
      </c>
      <c r="O12">
        <v>2.15</v>
      </c>
    </row>
    <row r="13" spans="1:15" x14ac:dyDescent="0.25">
      <c r="A13" s="9">
        <v>11</v>
      </c>
      <c r="B13" t="s">
        <v>26</v>
      </c>
      <c r="C13">
        <v>253</v>
      </c>
      <c r="D13">
        <v>2.5299999999999998</v>
      </c>
      <c r="E13" t="s">
        <v>27</v>
      </c>
      <c r="G13">
        <v>300</v>
      </c>
      <c r="H13">
        <v>37500</v>
      </c>
      <c r="I13">
        <v>0.12</v>
      </c>
      <c r="J13">
        <v>0</v>
      </c>
      <c r="K13">
        <v>0.30359999999999998</v>
      </c>
      <c r="L13">
        <v>2.8336000000000001</v>
      </c>
      <c r="M13">
        <v>7.0000000000000007E-2</v>
      </c>
      <c r="N13">
        <v>0.17710000000000001</v>
      </c>
      <c r="O13">
        <v>2.7071000000000001</v>
      </c>
    </row>
    <row r="14" spans="1:15" x14ac:dyDescent="0.25">
      <c r="A14" s="9">
        <v>12</v>
      </c>
      <c r="B14" t="s">
        <v>32</v>
      </c>
      <c r="C14">
        <v>284</v>
      </c>
      <c r="D14">
        <v>2.84</v>
      </c>
      <c r="E14" t="s">
        <v>27</v>
      </c>
      <c r="G14">
        <v>400</v>
      </c>
      <c r="H14">
        <v>50000</v>
      </c>
      <c r="I14">
        <v>0.12</v>
      </c>
      <c r="J14">
        <v>0</v>
      </c>
      <c r="K14">
        <v>0.34079999999999999</v>
      </c>
      <c r="L14">
        <v>3.1808000000000001</v>
      </c>
      <c r="M14">
        <v>7.0000000000000007E-2</v>
      </c>
      <c r="N14">
        <v>0.1988</v>
      </c>
      <c r="O14">
        <v>3.0388000000000002</v>
      </c>
    </row>
    <row r="15" spans="1:15" x14ac:dyDescent="0.25">
      <c r="A15" s="9">
        <v>13</v>
      </c>
      <c r="B15" t="s">
        <v>34</v>
      </c>
      <c r="C15">
        <v>295</v>
      </c>
      <c r="D15">
        <v>2.95</v>
      </c>
      <c r="G15">
        <v>500</v>
      </c>
      <c r="H15">
        <v>62500</v>
      </c>
      <c r="I15">
        <v>0</v>
      </c>
      <c r="J15">
        <v>0</v>
      </c>
      <c r="K15">
        <v>0</v>
      </c>
      <c r="L15">
        <v>2.95</v>
      </c>
      <c r="M15">
        <v>0</v>
      </c>
      <c r="N15">
        <v>0</v>
      </c>
      <c r="O15">
        <v>2.95</v>
      </c>
    </row>
    <row r="16" spans="1:15" x14ac:dyDescent="0.25">
      <c r="A16" s="9">
        <v>14</v>
      </c>
      <c r="B16" t="s">
        <v>36</v>
      </c>
      <c r="C16">
        <v>326</v>
      </c>
      <c r="D16">
        <v>3.26</v>
      </c>
      <c r="E16" t="s">
        <v>27</v>
      </c>
      <c r="G16">
        <v>500</v>
      </c>
      <c r="H16">
        <v>62500</v>
      </c>
      <c r="I16">
        <v>0.12</v>
      </c>
      <c r="J16">
        <v>0</v>
      </c>
      <c r="K16">
        <v>0.39119999999999988</v>
      </c>
      <c r="L16">
        <v>3.6511999999999998</v>
      </c>
      <c r="M16">
        <v>7.0000000000000007E-2</v>
      </c>
      <c r="N16">
        <v>0.22819999999999999</v>
      </c>
      <c r="O16">
        <v>3.4882</v>
      </c>
    </row>
    <row r="17" spans="1:15" x14ac:dyDescent="0.25">
      <c r="A17" s="9">
        <v>15</v>
      </c>
      <c r="B17" t="s">
        <v>33</v>
      </c>
      <c r="C17">
        <v>350</v>
      </c>
      <c r="D17">
        <v>3.5</v>
      </c>
      <c r="E17" t="s">
        <v>27</v>
      </c>
      <c r="G17">
        <v>700</v>
      </c>
      <c r="H17">
        <v>87500</v>
      </c>
      <c r="I17">
        <v>0.12</v>
      </c>
      <c r="J17">
        <v>0</v>
      </c>
      <c r="K17">
        <v>0.42</v>
      </c>
      <c r="L17">
        <v>3.92</v>
      </c>
      <c r="M17">
        <v>7.0000000000000007E-2</v>
      </c>
      <c r="N17">
        <v>0.245</v>
      </c>
      <c r="O17">
        <v>3.7450000000000001</v>
      </c>
    </row>
    <row r="18" spans="1:15" x14ac:dyDescent="0.25">
      <c r="A18" s="9">
        <v>16</v>
      </c>
      <c r="B18" t="s">
        <v>40</v>
      </c>
      <c r="C18">
        <v>367</v>
      </c>
      <c r="D18">
        <v>3.67</v>
      </c>
      <c r="E18" t="s">
        <v>27</v>
      </c>
      <c r="G18">
        <v>700</v>
      </c>
      <c r="H18">
        <v>87500</v>
      </c>
      <c r="I18">
        <v>0.12</v>
      </c>
      <c r="J18">
        <v>0</v>
      </c>
      <c r="K18">
        <v>0.44040000000000001</v>
      </c>
      <c r="L18">
        <v>4.1104000000000003</v>
      </c>
      <c r="M18">
        <v>7.0000000000000007E-2</v>
      </c>
      <c r="N18">
        <v>0.25690000000000002</v>
      </c>
      <c r="O18">
        <v>3.9268999999999998</v>
      </c>
    </row>
    <row r="19" spans="1:15" x14ac:dyDescent="0.25">
      <c r="A19" s="9">
        <v>17</v>
      </c>
      <c r="B19" t="s">
        <v>37</v>
      </c>
      <c r="C19">
        <v>413</v>
      </c>
      <c r="D19">
        <v>4.13</v>
      </c>
      <c r="E19" t="s">
        <v>27</v>
      </c>
      <c r="G19">
        <v>1000</v>
      </c>
      <c r="H19">
        <v>125000</v>
      </c>
      <c r="I19">
        <v>0.12</v>
      </c>
      <c r="J19">
        <v>0</v>
      </c>
      <c r="K19">
        <v>0.49559999999999998</v>
      </c>
      <c r="L19">
        <v>4.6255999999999986</v>
      </c>
      <c r="M19">
        <v>7.0000000000000007E-2</v>
      </c>
      <c r="N19">
        <v>0.28910000000000002</v>
      </c>
      <c r="O19">
        <v>4.4191000000000003</v>
      </c>
    </row>
    <row r="20" spans="1:15" x14ac:dyDescent="0.25">
      <c r="A20" s="9">
        <v>18</v>
      </c>
      <c r="B20" t="s">
        <v>38</v>
      </c>
      <c r="C20">
        <v>218</v>
      </c>
      <c r="D20">
        <v>2.1800000000000002</v>
      </c>
      <c r="E20" t="s">
        <v>39</v>
      </c>
      <c r="G20">
        <v>250</v>
      </c>
      <c r="H20">
        <v>31250</v>
      </c>
      <c r="I20">
        <v>0.17</v>
      </c>
      <c r="J20">
        <v>0</v>
      </c>
      <c r="K20">
        <v>0.37059999999999998</v>
      </c>
      <c r="L20">
        <v>2.5506000000000002</v>
      </c>
      <c r="M20">
        <v>7.0000000000000007E-2</v>
      </c>
      <c r="N20">
        <v>0.15260000000000001</v>
      </c>
      <c r="O20">
        <v>2.3325999999999998</v>
      </c>
    </row>
    <row r="21" spans="1:15" x14ac:dyDescent="0.25">
      <c r="A21" s="9">
        <v>19</v>
      </c>
      <c r="B21" t="s">
        <v>41</v>
      </c>
      <c r="C21">
        <v>270</v>
      </c>
      <c r="D21">
        <v>2.7</v>
      </c>
      <c r="E21" t="s">
        <v>39</v>
      </c>
      <c r="G21">
        <v>330</v>
      </c>
      <c r="H21">
        <v>41250</v>
      </c>
      <c r="I21">
        <v>0.17</v>
      </c>
      <c r="J21">
        <v>0</v>
      </c>
      <c r="K21">
        <v>0.45900000000000007</v>
      </c>
      <c r="L21">
        <v>3.1589999999999998</v>
      </c>
      <c r="M21">
        <v>7.0000000000000007E-2</v>
      </c>
      <c r="N21">
        <v>0.189</v>
      </c>
      <c r="O21">
        <v>2.8889999999999998</v>
      </c>
    </row>
    <row r="22" spans="1:15" x14ac:dyDescent="0.25">
      <c r="A22" s="9">
        <v>20</v>
      </c>
      <c r="B22" t="s">
        <v>42</v>
      </c>
      <c r="C22">
        <v>301</v>
      </c>
      <c r="D22">
        <v>3.01</v>
      </c>
      <c r="E22" t="s">
        <v>39</v>
      </c>
      <c r="G22">
        <v>330</v>
      </c>
      <c r="H22">
        <v>41250</v>
      </c>
      <c r="I22">
        <v>0.17</v>
      </c>
      <c r="J22">
        <v>0</v>
      </c>
      <c r="K22">
        <v>0.51170000000000004</v>
      </c>
      <c r="L22">
        <v>3.5217000000000001</v>
      </c>
      <c r="M22">
        <v>7.0000000000000007E-2</v>
      </c>
      <c r="N22">
        <v>0.2107</v>
      </c>
      <c r="O22">
        <v>3.2206999999999999</v>
      </c>
    </row>
    <row r="23" spans="1:15" x14ac:dyDescent="0.25">
      <c r="A23" s="9">
        <v>21</v>
      </c>
      <c r="B23" t="s">
        <v>43</v>
      </c>
      <c r="C23">
        <v>376</v>
      </c>
      <c r="D23">
        <v>3.76</v>
      </c>
      <c r="E23" t="s">
        <v>39</v>
      </c>
      <c r="G23">
        <v>400</v>
      </c>
      <c r="H23">
        <v>50000</v>
      </c>
      <c r="I23">
        <v>0.17</v>
      </c>
      <c r="J23">
        <v>0</v>
      </c>
      <c r="K23">
        <v>0.63919999999999999</v>
      </c>
      <c r="L23">
        <v>4.3992000000000004</v>
      </c>
      <c r="M23">
        <v>7.0000000000000007E-2</v>
      </c>
      <c r="N23">
        <v>0.26319999999999999</v>
      </c>
      <c r="O23">
        <v>4.0232000000000001</v>
      </c>
    </row>
    <row r="24" spans="1:15" x14ac:dyDescent="0.25">
      <c r="A24" s="9">
        <v>22</v>
      </c>
      <c r="B24" t="s">
        <v>44</v>
      </c>
      <c r="C24">
        <v>441</v>
      </c>
      <c r="D24">
        <v>4.41</v>
      </c>
      <c r="E24" t="s">
        <v>39</v>
      </c>
      <c r="G24">
        <v>500</v>
      </c>
      <c r="H24">
        <v>62500</v>
      </c>
      <c r="I24">
        <v>0.17</v>
      </c>
      <c r="J24">
        <v>0</v>
      </c>
      <c r="K24">
        <v>0.74970000000000003</v>
      </c>
      <c r="L24">
        <v>5.1597</v>
      </c>
      <c r="M24">
        <v>7.0000000000000007E-2</v>
      </c>
      <c r="N24">
        <v>0.30869999999999997</v>
      </c>
      <c r="O24">
        <v>4.7187000000000001</v>
      </c>
    </row>
    <row r="25" spans="1:15" x14ac:dyDescent="0.25">
      <c r="A25" s="9">
        <v>23</v>
      </c>
      <c r="B25" t="s">
        <v>45</v>
      </c>
      <c r="C25">
        <v>472</v>
      </c>
      <c r="D25">
        <v>4.72</v>
      </c>
      <c r="E25" t="s">
        <v>39</v>
      </c>
      <c r="G25">
        <v>600</v>
      </c>
      <c r="H25">
        <v>75000</v>
      </c>
      <c r="I25">
        <v>0.17</v>
      </c>
      <c r="J25">
        <v>0</v>
      </c>
      <c r="K25">
        <v>0.8024</v>
      </c>
      <c r="L25">
        <v>5.5223999999999993</v>
      </c>
      <c r="M25">
        <v>7.0000000000000007E-2</v>
      </c>
      <c r="N25">
        <v>0.33040000000000003</v>
      </c>
      <c r="O25">
        <v>5.0503999999999998</v>
      </c>
    </row>
    <row r="26" spans="1:15" x14ac:dyDescent="0.25">
      <c r="A26" s="9">
        <v>24</v>
      </c>
      <c r="B26" t="s">
        <v>46</v>
      </c>
      <c r="C26">
        <v>546</v>
      </c>
      <c r="D26">
        <v>5.46</v>
      </c>
      <c r="E26" t="s">
        <v>39</v>
      </c>
      <c r="G26">
        <v>700</v>
      </c>
      <c r="H26">
        <v>87500</v>
      </c>
      <c r="I26">
        <v>0.17</v>
      </c>
      <c r="J26">
        <v>0</v>
      </c>
      <c r="K26">
        <v>0.92820000000000003</v>
      </c>
      <c r="L26">
        <v>6.3882000000000003</v>
      </c>
      <c r="M26">
        <v>7.0000000000000007E-2</v>
      </c>
      <c r="N26">
        <v>0.38219999999999998</v>
      </c>
      <c r="O26">
        <v>5.8422000000000001</v>
      </c>
    </row>
    <row r="27" spans="1:15" x14ac:dyDescent="0.25">
      <c r="A27" s="9">
        <v>25</v>
      </c>
      <c r="B27" t="s">
        <v>47</v>
      </c>
      <c r="C27">
        <v>573</v>
      </c>
      <c r="D27">
        <v>5.73</v>
      </c>
      <c r="E27" t="s">
        <v>39</v>
      </c>
      <c r="G27">
        <v>800</v>
      </c>
      <c r="H27">
        <v>100000</v>
      </c>
      <c r="I27">
        <v>0.17</v>
      </c>
      <c r="J27">
        <v>0</v>
      </c>
      <c r="K27">
        <v>0.97410000000000019</v>
      </c>
      <c r="L27">
        <v>6.7041000000000004</v>
      </c>
      <c r="M27">
        <v>7.0000000000000007E-2</v>
      </c>
      <c r="N27">
        <v>0.40110000000000012</v>
      </c>
      <c r="O27">
        <v>6.1311000000000009</v>
      </c>
    </row>
    <row r="28" spans="1:15" x14ac:dyDescent="0.25">
      <c r="A28" s="9">
        <v>26</v>
      </c>
      <c r="B28" t="s">
        <v>48</v>
      </c>
      <c r="C28">
        <v>642</v>
      </c>
      <c r="D28">
        <v>6.42</v>
      </c>
      <c r="E28" t="s">
        <v>39</v>
      </c>
      <c r="G28">
        <v>1200</v>
      </c>
      <c r="H28">
        <v>150000</v>
      </c>
      <c r="I28">
        <v>0.17</v>
      </c>
      <c r="J28">
        <v>0</v>
      </c>
      <c r="K28">
        <v>1.0913999999999999</v>
      </c>
      <c r="L28">
        <v>7.5114000000000001</v>
      </c>
      <c r="M28">
        <v>7.0000000000000007E-2</v>
      </c>
      <c r="N28">
        <v>0.44940000000000002</v>
      </c>
      <c r="O28">
        <v>6.8693999999999997</v>
      </c>
    </row>
    <row r="29" spans="1:15" x14ac:dyDescent="0.25">
      <c r="A29" s="9">
        <v>27</v>
      </c>
      <c r="B29" t="s">
        <v>49</v>
      </c>
      <c r="C29">
        <v>648</v>
      </c>
      <c r="D29">
        <v>6.48</v>
      </c>
      <c r="E29" t="s">
        <v>39</v>
      </c>
      <c r="F29" t="s">
        <v>53</v>
      </c>
      <c r="G29">
        <v>1500</v>
      </c>
      <c r="H29">
        <v>187500</v>
      </c>
      <c r="I29">
        <v>0.17</v>
      </c>
      <c r="J29">
        <v>-0.05</v>
      </c>
      <c r="K29">
        <v>0.77760000000000007</v>
      </c>
      <c r="L29">
        <v>7.2576000000000001</v>
      </c>
      <c r="M29">
        <v>7.0000000000000007E-2</v>
      </c>
      <c r="N29">
        <v>0.12959999999999999</v>
      </c>
      <c r="O29">
        <v>6.6096000000000004</v>
      </c>
    </row>
    <row r="30" spans="1:15" x14ac:dyDescent="0.25">
      <c r="A30" s="9">
        <v>28</v>
      </c>
      <c r="B30" t="s">
        <v>50</v>
      </c>
      <c r="C30">
        <v>700</v>
      </c>
      <c r="D30">
        <v>7</v>
      </c>
      <c r="E30" t="s">
        <v>39</v>
      </c>
      <c r="F30" t="s">
        <v>53</v>
      </c>
      <c r="G30">
        <v>2000</v>
      </c>
      <c r="H30">
        <v>250000</v>
      </c>
      <c r="I30">
        <v>0.17</v>
      </c>
      <c r="J30">
        <v>-0.05</v>
      </c>
      <c r="K30">
        <v>0.84000000000000008</v>
      </c>
      <c r="L30">
        <v>7.84</v>
      </c>
      <c r="M30">
        <v>7.0000000000000007E-2</v>
      </c>
      <c r="N30">
        <v>0.14000000000000001</v>
      </c>
      <c r="O30">
        <v>7.14</v>
      </c>
    </row>
    <row r="31" spans="1:15" x14ac:dyDescent="0.25">
      <c r="A31" s="9">
        <v>29</v>
      </c>
      <c r="B31" t="s">
        <v>54</v>
      </c>
      <c r="C31">
        <v>811</v>
      </c>
      <c r="D31">
        <v>8.11</v>
      </c>
      <c r="E31" t="s">
        <v>52</v>
      </c>
      <c r="F31" t="s">
        <v>53</v>
      </c>
      <c r="G31">
        <v>1200</v>
      </c>
      <c r="H31">
        <v>150000</v>
      </c>
      <c r="I31">
        <v>0.22</v>
      </c>
      <c r="J31">
        <v>-0.05</v>
      </c>
      <c r="K31">
        <v>1.3787</v>
      </c>
      <c r="L31">
        <v>9.4886999999999997</v>
      </c>
      <c r="M31">
        <v>7.0000000000000007E-2</v>
      </c>
      <c r="N31">
        <v>0.16220000000000001</v>
      </c>
      <c r="O31">
        <v>8.2721999999999998</v>
      </c>
    </row>
    <row r="32" spans="1:15" x14ac:dyDescent="0.25">
      <c r="A32" s="9">
        <v>30</v>
      </c>
      <c r="B32" t="s">
        <v>55</v>
      </c>
      <c r="C32">
        <v>1014</v>
      </c>
      <c r="D32">
        <v>10.14</v>
      </c>
      <c r="E32" t="s">
        <v>52</v>
      </c>
      <c r="F32" t="s">
        <v>53</v>
      </c>
      <c r="G32">
        <v>1600</v>
      </c>
      <c r="H32">
        <v>200000</v>
      </c>
      <c r="I32">
        <v>0.22</v>
      </c>
      <c r="J32">
        <v>-0.05</v>
      </c>
      <c r="K32">
        <v>1.7238</v>
      </c>
      <c r="L32">
        <v>11.863799999999999</v>
      </c>
      <c r="M32">
        <v>7.0000000000000007E-2</v>
      </c>
      <c r="N32">
        <v>0.20280000000000009</v>
      </c>
      <c r="O32">
        <v>10.3428</v>
      </c>
    </row>
    <row r="33" spans="1:15" x14ac:dyDescent="0.25">
      <c r="A33" s="9">
        <v>31</v>
      </c>
      <c r="B33" t="s">
        <v>51</v>
      </c>
      <c r="C33">
        <v>668</v>
      </c>
      <c r="D33">
        <v>6.68</v>
      </c>
      <c r="E33" t="s">
        <v>52</v>
      </c>
      <c r="G33">
        <v>800</v>
      </c>
      <c r="H33">
        <v>100000</v>
      </c>
      <c r="I33">
        <v>0.22</v>
      </c>
      <c r="J33">
        <v>0</v>
      </c>
      <c r="K33">
        <v>1.4696</v>
      </c>
      <c r="L33">
        <v>8.1495999999999995</v>
      </c>
      <c r="M33">
        <v>7.0000000000000007E-2</v>
      </c>
      <c r="N33">
        <v>0.46760000000000002</v>
      </c>
      <c r="O33">
        <v>7.1475999999999997</v>
      </c>
    </row>
    <row r="34" spans="1:15" x14ac:dyDescent="0.25">
      <c r="A34" s="9">
        <v>32</v>
      </c>
      <c r="B34" t="s">
        <v>59</v>
      </c>
      <c r="C34">
        <v>162</v>
      </c>
      <c r="D34">
        <v>1.62</v>
      </c>
      <c r="I34">
        <v>0</v>
      </c>
      <c r="J34">
        <v>0</v>
      </c>
      <c r="K34">
        <v>0</v>
      </c>
      <c r="L34">
        <v>1.62</v>
      </c>
      <c r="M34">
        <v>0</v>
      </c>
      <c r="N34">
        <v>0</v>
      </c>
      <c r="O34">
        <v>1.62</v>
      </c>
    </row>
    <row r="35" spans="1:15" x14ac:dyDescent="0.25">
      <c r="A35" s="9">
        <v>33</v>
      </c>
      <c r="B35" t="s">
        <v>60</v>
      </c>
      <c r="C35">
        <v>142</v>
      </c>
      <c r="D35">
        <v>1.42</v>
      </c>
      <c r="G35">
        <v>170</v>
      </c>
      <c r="H35">
        <v>21250</v>
      </c>
      <c r="I35">
        <v>0</v>
      </c>
      <c r="J35">
        <v>0</v>
      </c>
      <c r="K35">
        <v>0</v>
      </c>
      <c r="L35">
        <v>1.42</v>
      </c>
      <c r="M35">
        <v>0</v>
      </c>
      <c r="N35">
        <v>0</v>
      </c>
      <c r="O35">
        <v>1.42</v>
      </c>
    </row>
    <row r="36" spans="1:15" x14ac:dyDescent="0.25">
      <c r="A36" s="9">
        <v>34</v>
      </c>
      <c r="B36" t="s">
        <v>61</v>
      </c>
      <c r="C36">
        <v>165</v>
      </c>
      <c r="D36">
        <v>1.65</v>
      </c>
      <c r="G36">
        <v>200</v>
      </c>
      <c r="H36">
        <v>25000</v>
      </c>
      <c r="I36">
        <v>0</v>
      </c>
      <c r="J36">
        <v>0</v>
      </c>
      <c r="K36">
        <v>0</v>
      </c>
      <c r="L36">
        <v>1.65</v>
      </c>
      <c r="M36">
        <v>0</v>
      </c>
      <c r="N36">
        <v>0</v>
      </c>
      <c r="O36">
        <v>1.65</v>
      </c>
    </row>
    <row r="37" spans="1:15" x14ac:dyDescent="0.25">
      <c r="A37" s="9">
        <v>35</v>
      </c>
      <c r="B37" t="s">
        <v>62</v>
      </c>
      <c r="C37">
        <v>246</v>
      </c>
      <c r="D37">
        <v>2.46</v>
      </c>
      <c r="G37">
        <v>280</v>
      </c>
      <c r="H37">
        <v>35000</v>
      </c>
      <c r="I37">
        <v>0</v>
      </c>
      <c r="J37">
        <v>0</v>
      </c>
      <c r="K37">
        <v>0</v>
      </c>
      <c r="L37">
        <v>2.46</v>
      </c>
      <c r="M37">
        <v>0</v>
      </c>
      <c r="N37">
        <v>0</v>
      </c>
      <c r="O37">
        <v>2.46</v>
      </c>
    </row>
    <row r="38" spans="1:15" x14ac:dyDescent="0.25">
      <c r="A38" s="9">
        <v>36</v>
      </c>
      <c r="B38" t="s">
        <v>56</v>
      </c>
      <c r="C38">
        <v>142</v>
      </c>
      <c r="D38">
        <v>1.42</v>
      </c>
      <c r="G38">
        <v>170</v>
      </c>
      <c r="H38">
        <v>21250</v>
      </c>
      <c r="I38">
        <v>0</v>
      </c>
      <c r="J38">
        <v>0</v>
      </c>
      <c r="K38">
        <v>0</v>
      </c>
      <c r="L38">
        <v>1.42</v>
      </c>
      <c r="M38">
        <v>0</v>
      </c>
      <c r="N38">
        <v>0</v>
      </c>
      <c r="O38">
        <v>1.42</v>
      </c>
    </row>
    <row r="39" spans="1:15" x14ac:dyDescent="0.25">
      <c r="A39" s="9">
        <v>37</v>
      </c>
      <c r="B39" t="s">
        <v>64</v>
      </c>
      <c r="C39">
        <v>263</v>
      </c>
      <c r="D39">
        <v>2.63</v>
      </c>
      <c r="G39">
        <v>350</v>
      </c>
      <c r="H39">
        <v>43750</v>
      </c>
      <c r="I39">
        <v>0</v>
      </c>
      <c r="J39">
        <v>0</v>
      </c>
      <c r="K39">
        <v>0</v>
      </c>
      <c r="L39">
        <v>2.63</v>
      </c>
      <c r="M39">
        <v>0</v>
      </c>
      <c r="N39">
        <v>0</v>
      </c>
      <c r="O39">
        <v>2.63</v>
      </c>
    </row>
    <row r="40" spans="1:15" x14ac:dyDescent="0.25">
      <c r="A40" s="9">
        <v>38</v>
      </c>
      <c r="B40" t="s">
        <v>65</v>
      </c>
      <c r="C40">
        <v>302</v>
      </c>
      <c r="D40">
        <v>3.02</v>
      </c>
      <c r="G40">
        <v>400</v>
      </c>
      <c r="H40">
        <v>50000</v>
      </c>
      <c r="I40">
        <v>0</v>
      </c>
      <c r="J40">
        <v>0</v>
      </c>
      <c r="K40">
        <v>0</v>
      </c>
      <c r="L40">
        <v>3.02</v>
      </c>
      <c r="M40">
        <v>0</v>
      </c>
      <c r="N40">
        <v>0</v>
      </c>
      <c r="O40">
        <v>3.02</v>
      </c>
    </row>
    <row r="41" spans="1:15" x14ac:dyDescent="0.25">
      <c r="A41" s="9">
        <v>39</v>
      </c>
      <c r="B41" t="s">
        <v>57</v>
      </c>
      <c r="C41">
        <v>164</v>
      </c>
      <c r="D41">
        <v>1.64</v>
      </c>
      <c r="G41">
        <v>230</v>
      </c>
      <c r="H41">
        <v>28750</v>
      </c>
      <c r="I41">
        <v>0</v>
      </c>
      <c r="J41">
        <v>0</v>
      </c>
      <c r="K41">
        <v>0</v>
      </c>
      <c r="L41">
        <v>1.64</v>
      </c>
      <c r="M41">
        <v>0</v>
      </c>
      <c r="N41">
        <v>0</v>
      </c>
      <c r="O41">
        <v>1.64</v>
      </c>
    </row>
    <row r="42" spans="1:15" x14ac:dyDescent="0.25">
      <c r="A42" s="9">
        <v>40</v>
      </c>
      <c r="B42" t="s">
        <v>58</v>
      </c>
      <c r="C42">
        <v>177</v>
      </c>
      <c r="D42">
        <v>1.77</v>
      </c>
      <c r="G42">
        <v>280</v>
      </c>
      <c r="H42">
        <v>35000</v>
      </c>
      <c r="I42">
        <v>0</v>
      </c>
      <c r="J42">
        <v>0</v>
      </c>
      <c r="K42">
        <v>0</v>
      </c>
      <c r="L42">
        <v>1.77</v>
      </c>
      <c r="M42">
        <v>0</v>
      </c>
      <c r="N42">
        <v>0</v>
      </c>
      <c r="O42">
        <v>1.77</v>
      </c>
    </row>
    <row r="43" spans="1:15" x14ac:dyDescent="0.25">
      <c r="A43" s="9">
        <v>41</v>
      </c>
      <c r="B43" t="s">
        <v>69</v>
      </c>
      <c r="C43">
        <v>282</v>
      </c>
      <c r="D43">
        <v>2.82</v>
      </c>
      <c r="E43" t="s">
        <v>70</v>
      </c>
      <c r="G43">
        <v>330</v>
      </c>
      <c r="H43">
        <v>41250</v>
      </c>
      <c r="I43">
        <v>0.05</v>
      </c>
      <c r="J43">
        <v>0</v>
      </c>
      <c r="K43">
        <v>0.14099999999999999</v>
      </c>
      <c r="L43">
        <v>2.9609999999999999</v>
      </c>
      <c r="M43">
        <v>0</v>
      </c>
      <c r="N43">
        <v>0</v>
      </c>
      <c r="O43">
        <v>2.82</v>
      </c>
    </row>
    <row r="44" spans="1:15" x14ac:dyDescent="0.25">
      <c r="A44" s="9">
        <v>42</v>
      </c>
      <c r="B44" t="s">
        <v>68</v>
      </c>
      <c r="C44">
        <v>336</v>
      </c>
      <c r="D44">
        <v>3.36</v>
      </c>
      <c r="E44" t="s">
        <v>67</v>
      </c>
      <c r="G44">
        <v>380</v>
      </c>
      <c r="H44">
        <v>47500</v>
      </c>
      <c r="I44">
        <v>0.05</v>
      </c>
      <c r="J44">
        <v>0</v>
      </c>
      <c r="K44">
        <v>0.16800000000000001</v>
      </c>
      <c r="L44">
        <v>3.528</v>
      </c>
      <c r="M44">
        <v>0</v>
      </c>
      <c r="N44">
        <v>0</v>
      </c>
      <c r="O44">
        <v>3.36</v>
      </c>
    </row>
    <row r="45" spans="1:15" x14ac:dyDescent="0.25">
      <c r="A45" s="9">
        <v>43</v>
      </c>
      <c r="B45" t="s">
        <v>71</v>
      </c>
      <c r="C45">
        <v>343</v>
      </c>
      <c r="D45">
        <v>3.43</v>
      </c>
      <c r="E45" t="s">
        <v>67</v>
      </c>
      <c r="G45">
        <v>400</v>
      </c>
      <c r="H45">
        <v>50000</v>
      </c>
      <c r="I45">
        <v>0.05</v>
      </c>
      <c r="J45">
        <v>0</v>
      </c>
      <c r="K45">
        <v>0.17150000000000001</v>
      </c>
      <c r="L45">
        <v>3.6015000000000001</v>
      </c>
      <c r="M45">
        <v>0</v>
      </c>
      <c r="N45">
        <v>0</v>
      </c>
      <c r="O45">
        <v>3.43</v>
      </c>
    </row>
    <row r="46" spans="1:15" x14ac:dyDescent="0.25">
      <c r="A46" s="9">
        <v>44</v>
      </c>
      <c r="B46" t="s">
        <v>73</v>
      </c>
      <c r="C46">
        <v>383</v>
      </c>
      <c r="D46">
        <v>3.83</v>
      </c>
      <c r="E46" t="s">
        <v>67</v>
      </c>
      <c r="G46">
        <v>480</v>
      </c>
      <c r="H46">
        <v>60000</v>
      </c>
      <c r="I46">
        <v>0.05</v>
      </c>
      <c r="J46">
        <v>0</v>
      </c>
      <c r="K46">
        <v>0.1915</v>
      </c>
      <c r="L46">
        <v>4.0214999999999996</v>
      </c>
      <c r="M46">
        <v>0</v>
      </c>
      <c r="N46">
        <v>0</v>
      </c>
      <c r="O46">
        <v>3.83</v>
      </c>
    </row>
    <row r="47" spans="1:15" x14ac:dyDescent="0.25">
      <c r="A47" s="9">
        <v>45</v>
      </c>
      <c r="B47" t="s">
        <v>74</v>
      </c>
      <c r="C47">
        <v>414</v>
      </c>
      <c r="D47">
        <v>4.1399999999999997</v>
      </c>
      <c r="E47" t="s">
        <v>67</v>
      </c>
      <c r="G47">
        <v>550</v>
      </c>
      <c r="H47">
        <v>68750</v>
      </c>
      <c r="I47">
        <v>0.05</v>
      </c>
      <c r="J47">
        <v>0</v>
      </c>
      <c r="K47">
        <v>0.20699999999999999</v>
      </c>
      <c r="L47">
        <v>4.3470000000000004</v>
      </c>
      <c r="M47">
        <v>0</v>
      </c>
      <c r="N47">
        <v>0</v>
      </c>
      <c r="O47">
        <v>4.1399999999999997</v>
      </c>
    </row>
    <row r="48" spans="1:15" x14ac:dyDescent="0.25">
      <c r="A48" s="9">
        <v>46</v>
      </c>
      <c r="B48" t="s">
        <v>75</v>
      </c>
      <c r="C48">
        <v>486</v>
      </c>
      <c r="D48">
        <v>4.8600000000000003</v>
      </c>
      <c r="E48" t="s">
        <v>67</v>
      </c>
      <c r="G48">
        <v>580</v>
      </c>
      <c r="H48">
        <v>72500</v>
      </c>
      <c r="I48">
        <v>0.05</v>
      </c>
      <c r="J48">
        <v>0</v>
      </c>
      <c r="K48">
        <v>0.24299999999999999</v>
      </c>
      <c r="L48">
        <v>5.1030000000000006</v>
      </c>
      <c r="M48">
        <v>0</v>
      </c>
      <c r="N48">
        <v>0</v>
      </c>
      <c r="O48">
        <v>4.8600000000000003</v>
      </c>
    </row>
    <row r="49" spans="1:15" x14ac:dyDescent="0.25">
      <c r="A49" s="9">
        <v>47</v>
      </c>
      <c r="B49" t="s">
        <v>76</v>
      </c>
      <c r="C49">
        <v>558</v>
      </c>
      <c r="D49">
        <v>5.58</v>
      </c>
      <c r="E49" t="s">
        <v>67</v>
      </c>
      <c r="G49">
        <v>650</v>
      </c>
      <c r="H49">
        <v>81250</v>
      </c>
      <c r="I49">
        <v>0.05</v>
      </c>
      <c r="J49">
        <v>0</v>
      </c>
      <c r="K49">
        <v>0.27900000000000003</v>
      </c>
      <c r="L49">
        <v>5.859</v>
      </c>
      <c r="M49">
        <v>0</v>
      </c>
      <c r="N49">
        <v>0</v>
      </c>
      <c r="O49">
        <v>5.58</v>
      </c>
    </row>
    <row r="50" spans="1:15" x14ac:dyDescent="0.25">
      <c r="A50" s="9">
        <v>48</v>
      </c>
      <c r="B50" t="s">
        <v>77</v>
      </c>
      <c r="C50">
        <v>606</v>
      </c>
      <c r="D50">
        <v>6.06</v>
      </c>
      <c r="E50" t="s">
        <v>67</v>
      </c>
      <c r="G50">
        <v>1000</v>
      </c>
      <c r="H50">
        <v>125000</v>
      </c>
      <c r="I50">
        <v>0.05</v>
      </c>
      <c r="J50">
        <v>0</v>
      </c>
      <c r="K50">
        <v>0.30299999999999999</v>
      </c>
      <c r="L50">
        <v>6.3630000000000004</v>
      </c>
      <c r="M50">
        <v>0</v>
      </c>
      <c r="N50">
        <v>0</v>
      </c>
      <c r="O50">
        <v>6.06</v>
      </c>
    </row>
    <row r="51" spans="1:15" x14ac:dyDescent="0.25">
      <c r="A51" s="9">
        <v>49</v>
      </c>
      <c r="B51" t="s">
        <v>78</v>
      </c>
      <c r="C51">
        <v>643</v>
      </c>
      <c r="D51">
        <v>6.43</v>
      </c>
      <c r="E51" t="s">
        <v>67</v>
      </c>
      <c r="G51">
        <v>1100</v>
      </c>
      <c r="H51">
        <v>137500</v>
      </c>
      <c r="I51">
        <v>0.05</v>
      </c>
      <c r="J51">
        <v>0</v>
      </c>
      <c r="K51">
        <v>0.32150000000000001</v>
      </c>
      <c r="L51">
        <v>6.7515000000000001</v>
      </c>
      <c r="M51">
        <v>0</v>
      </c>
      <c r="N51">
        <v>0</v>
      </c>
      <c r="O51">
        <v>6.43</v>
      </c>
    </row>
    <row r="52" spans="1:15" x14ac:dyDescent="0.25">
      <c r="A52" s="9">
        <v>50</v>
      </c>
      <c r="B52" t="s">
        <v>79</v>
      </c>
      <c r="C52">
        <v>706</v>
      </c>
      <c r="D52">
        <v>7.06</v>
      </c>
      <c r="E52" t="s">
        <v>80</v>
      </c>
      <c r="F52" t="s">
        <v>81</v>
      </c>
      <c r="G52">
        <v>900</v>
      </c>
      <c r="H52">
        <v>112500</v>
      </c>
      <c r="I52">
        <v>0.1</v>
      </c>
      <c r="J52">
        <v>-0.05</v>
      </c>
      <c r="K52">
        <v>0.35299999999999998</v>
      </c>
      <c r="L52">
        <v>7.4129999999999994</v>
      </c>
      <c r="M52">
        <v>0</v>
      </c>
      <c r="N52">
        <v>-0.35299999999999998</v>
      </c>
      <c r="O52">
        <v>6.7069999999999999</v>
      </c>
    </row>
    <row r="53" spans="1:15" x14ac:dyDescent="0.25">
      <c r="A53" s="9">
        <v>51</v>
      </c>
      <c r="B53" t="s">
        <v>82</v>
      </c>
      <c r="C53">
        <v>844</v>
      </c>
      <c r="D53">
        <v>8.44</v>
      </c>
      <c r="E53" t="s">
        <v>80</v>
      </c>
      <c r="F53" t="s">
        <v>81</v>
      </c>
      <c r="G53">
        <v>1000</v>
      </c>
      <c r="H53">
        <v>125000</v>
      </c>
      <c r="I53">
        <v>0.1</v>
      </c>
      <c r="J53">
        <v>-0.05</v>
      </c>
      <c r="K53">
        <v>0.42199999999999999</v>
      </c>
      <c r="L53">
        <v>8.8620000000000001</v>
      </c>
      <c r="M53">
        <v>0</v>
      </c>
      <c r="N53">
        <v>-0.42199999999999999</v>
      </c>
      <c r="O53">
        <v>8.0179999999999989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workbookViewId="0">
      <selection activeCell="C33" sqref="C33"/>
    </sheetView>
  </sheetViews>
  <sheetFormatPr defaultRowHeight="15" x14ac:dyDescent="0.25"/>
  <cols>
    <col min="1" max="1" width="23.140625" style="2" bestFit="1" customWidth="1"/>
    <col min="2" max="2" width="12.42578125" style="2" bestFit="1" customWidth="1"/>
    <col min="3" max="3" width="15.140625" style="2" bestFit="1" customWidth="1"/>
    <col min="4" max="4" width="16.5703125" style="2" bestFit="1" customWidth="1"/>
    <col min="5" max="5" width="31.7109375" style="2" bestFit="1" customWidth="1"/>
  </cols>
  <sheetData>
    <row r="1" spans="1:8" x14ac:dyDescent="0.25">
      <c r="A1" s="4" t="s">
        <v>115</v>
      </c>
      <c r="B1" s="4" t="s">
        <v>1</v>
      </c>
      <c r="C1" s="4" t="s">
        <v>2</v>
      </c>
      <c r="D1" s="4" t="s">
        <v>5</v>
      </c>
      <c r="E1" s="4" t="s">
        <v>6</v>
      </c>
      <c r="F1" s="4"/>
      <c r="G1" s="4"/>
      <c r="H1" s="4"/>
    </row>
    <row r="2" spans="1:8" x14ac:dyDescent="0.25">
      <c r="A2" t="s">
        <v>13</v>
      </c>
      <c r="B2">
        <v>100</v>
      </c>
      <c r="C2">
        <v>1</v>
      </c>
      <c r="D2">
        <v>140</v>
      </c>
      <c r="E2">
        <v>17500</v>
      </c>
    </row>
    <row r="3" spans="1:8" x14ac:dyDescent="0.25">
      <c r="A3" t="s">
        <v>12</v>
      </c>
      <c r="B3">
        <v>121</v>
      </c>
      <c r="C3">
        <v>1.21</v>
      </c>
      <c r="D3">
        <v>140</v>
      </c>
      <c r="E3">
        <v>17500</v>
      </c>
    </row>
    <row r="4" spans="1:8" x14ac:dyDescent="0.25">
      <c r="A4" t="s">
        <v>18</v>
      </c>
      <c r="B4">
        <v>125</v>
      </c>
      <c r="C4">
        <v>1.25</v>
      </c>
      <c r="D4">
        <v>150</v>
      </c>
      <c r="E4">
        <v>18750</v>
      </c>
    </row>
    <row r="5" spans="1:8" x14ac:dyDescent="0.25">
      <c r="A5" t="s">
        <v>20</v>
      </c>
      <c r="B5">
        <v>139</v>
      </c>
      <c r="C5">
        <v>1.39</v>
      </c>
      <c r="D5">
        <v>150</v>
      </c>
      <c r="E5">
        <v>18750</v>
      </c>
    </row>
    <row r="6" spans="1:8" x14ac:dyDescent="0.25">
      <c r="A6" t="s">
        <v>60</v>
      </c>
      <c r="B6">
        <v>142</v>
      </c>
      <c r="C6">
        <v>1.42</v>
      </c>
      <c r="D6">
        <v>170</v>
      </c>
      <c r="E6">
        <v>21250</v>
      </c>
    </row>
    <row r="7" spans="1:8" x14ac:dyDescent="0.25">
      <c r="A7" t="s">
        <v>56</v>
      </c>
      <c r="B7">
        <v>142</v>
      </c>
      <c r="C7">
        <v>1.42</v>
      </c>
      <c r="D7">
        <v>170</v>
      </c>
      <c r="E7">
        <v>21250</v>
      </c>
    </row>
    <row r="8" spans="1:8" x14ac:dyDescent="0.25">
      <c r="A8" t="s">
        <v>16</v>
      </c>
      <c r="B8">
        <v>160</v>
      </c>
      <c r="C8">
        <v>1.6</v>
      </c>
      <c r="D8">
        <v>300</v>
      </c>
      <c r="E8">
        <v>37500</v>
      </c>
    </row>
    <row r="9" spans="1:8" x14ac:dyDescent="0.25">
      <c r="A9" t="s">
        <v>59</v>
      </c>
      <c r="B9">
        <v>162</v>
      </c>
      <c r="C9">
        <v>1.62</v>
      </c>
    </row>
    <row r="10" spans="1:8" x14ac:dyDescent="0.25">
      <c r="A10" t="s">
        <v>57</v>
      </c>
      <c r="B10">
        <v>164</v>
      </c>
      <c r="C10">
        <v>1.64</v>
      </c>
      <c r="D10">
        <v>230</v>
      </c>
      <c r="E10">
        <v>28750</v>
      </c>
    </row>
    <row r="11" spans="1:8" x14ac:dyDescent="0.25">
      <c r="A11" t="s">
        <v>61</v>
      </c>
      <c r="B11">
        <v>165</v>
      </c>
      <c r="C11">
        <v>1.65</v>
      </c>
      <c r="D11">
        <v>200</v>
      </c>
      <c r="E11">
        <v>25000</v>
      </c>
    </row>
    <row r="12" spans="1:8" x14ac:dyDescent="0.25">
      <c r="A12" t="s">
        <v>24</v>
      </c>
      <c r="B12">
        <v>169</v>
      </c>
      <c r="C12">
        <v>1.69</v>
      </c>
      <c r="D12">
        <v>160</v>
      </c>
      <c r="E12">
        <v>20000</v>
      </c>
    </row>
    <row r="13" spans="1:8" x14ac:dyDescent="0.25">
      <c r="A13" t="s">
        <v>58</v>
      </c>
      <c r="B13">
        <v>177</v>
      </c>
      <c r="C13">
        <v>1.77</v>
      </c>
      <c r="D13">
        <v>280</v>
      </c>
      <c r="E13">
        <v>35000</v>
      </c>
    </row>
    <row r="14" spans="1:8" x14ac:dyDescent="0.25">
      <c r="A14" t="s">
        <v>22</v>
      </c>
      <c r="B14">
        <v>187</v>
      </c>
      <c r="C14">
        <v>1.87</v>
      </c>
      <c r="D14">
        <v>220</v>
      </c>
      <c r="E14">
        <v>27500</v>
      </c>
    </row>
    <row r="15" spans="1:8" x14ac:dyDescent="0.25">
      <c r="A15" t="s">
        <v>28</v>
      </c>
      <c r="B15">
        <v>210</v>
      </c>
      <c r="C15">
        <v>2.1</v>
      </c>
      <c r="D15">
        <v>230</v>
      </c>
      <c r="E15">
        <v>28750</v>
      </c>
    </row>
    <row r="16" spans="1:8" x14ac:dyDescent="0.25">
      <c r="A16" t="s">
        <v>25</v>
      </c>
      <c r="B16">
        <v>215</v>
      </c>
      <c r="C16">
        <v>2.15</v>
      </c>
      <c r="D16">
        <v>280</v>
      </c>
      <c r="E16">
        <v>35000</v>
      </c>
    </row>
    <row r="17" spans="1:5" x14ac:dyDescent="0.25">
      <c r="A17" t="s">
        <v>38</v>
      </c>
      <c r="B17">
        <v>218</v>
      </c>
      <c r="C17">
        <v>2.1800000000000002</v>
      </c>
      <c r="D17">
        <v>250</v>
      </c>
      <c r="E17">
        <v>31250</v>
      </c>
    </row>
    <row r="18" spans="1:5" x14ac:dyDescent="0.25">
      <c r="A18" t="s">
        <v>62</v>
      </c>
      <c r="B18">
        <v>246</v>
      </c>
      <c r="C18">
        <v>2.46</v>
      </c>
      <c r="D18">
        <v>280</v>
      </c>
      <c r="E18">
        <v>35000</v>
      </c>
    </row>
    <row r="19" spans="1:5" x14ac:dyDescent="0.25">
      <c r="A19" t="s">
        <v>26</v>
      </c>
      <c r="B19">
        <v>253</v>
      </c>
      <c r="C19">
        <v>2.5299999999999998</v>
      </c>
      <c r="D19">
        <v>300</v>
      </c>
      <c r="E19">
        <v>37500</v>
      </c>
    </row>
    <row r="20" spans="1:5" x14ac:dyDescent="0.25">
      <c r="A20" t="s">
        <v>64</v>
      </c>
      <c r="B20">
        <v>263</v>
      </c>
      <c r="C20">
        <v>2.63</v>
      </c>
      <c r="D20">
        <v>350</v>
      </c>
      <c r="E20">
        <v>43750</v>
      </c>
    </row>
    <row r="21" spans="1:5" x14ac:dyDescent="0.25">
      <c r="A21" t="s">
        <v>14</v>
      </c>
      <c r="B21">
        <v>281</v>
      </c>
      <c r="C21">
        <v>2.81</v>
      </c>
    </row>
    <row r="22" spans="1:5" x14ac:dyDescent="0.25">
      <c r="A22" t="s">
        <v>69</v>
      </c>
      <c r="B22">
        <v>282</v>
      </c>
      <c r="C22">
        <v>2.82</v>
      </c>
      <c r="D22">
        <v>330</v>
      </c>
      <c r="E22">
        <v>41250</v>
      </c>
    </row>
    <row r="23" spans="1:5" x14ac:dyDescent="0.25">
      <c r="A23" t="s">
        <v>32</v>
      </c>
      <c r="B23">
        <v>284</v>
      </c>
      <c r="C23">
        <v>2.84</v>
      </c>
      <c r="D23">
        <v>400</v>
      </c>
      <c r="E23">
        <v>50000</v>
      </c>
    </row>
    <row r="24" spans="1:5" x14ac:dyDescent="0.25">
      <c r="A24" t="s">
        <v>34</v>
      </c>
      <c r="B24">
        <v>295</v>
      </c>
      <c r="C24">
        <v>2.95</v>
      </c>
      <c r="D24">
        <v>500</v>
      </c>
      <c r="E24">
        <v>62500</v>
      </c>
    </row>
    <row r="25" spans="1:5" x14ac:dyDescent="0.25">
      <c r="A25" t="s">
        <v>17</v>
      </c>
      <c r="B25">
        <v>301</v>
      </c>
      <c r="C25">
        <v>3.01</v>
      </c>
    </row>
    <row r="26" spans="1:5" x14ac:dyDescent="0.25">
      <c r="A26" t="s">
        <v>116</v>
      </c>
      <c r="B26">
        <v>301</v>
      </c>
      <c r="C26">
        <v>3.01</v>
      </c>
      <c r="D26">
        <v>330</v>
      </c>
      <c r="E26">
        <v>41250</v>
      </c>
    </row>
    <row r="27" spans="1:5" x14ac:dyDescent="0.25">
      <c r="A27" t="s">
        <v>65</v>
      </c>
      <c r="B27">
        <v>302</v>
      </c>
      <c r="C27">
        <v>3.02</v>
      </c>
      <c r="D27">
        <v>400</v>
      </c>
      <c r="E27">
        <v>50000</v>
      </c>
    </row>
    <row r="28" spans="1:5" x14ac:dyDescent="0.25">
      <c r="A28" t="s">
        <v>36</v>
      </c>
      <c r="B28">
        <v>326</v>
      </c>
      <c r="C28">
        <v>3.26</v>
      </c>
      <c r="D28">
        <v>500</v>
      </c>
      <c r="E28">
        <v>62500</v>
      </c>
    </row>
    <row r="29" spans="1:5" x14ac:dyDescent="0.25">
      <c r="A29" t="s">
        <v>68</v>
      </c>
      <c r="B29">
        <v>336</v>
      </c>
      <c r="C29">
        <v>3.36</v>
      </c>
      <c r="D29">
        <v>380</v>
      </c>
      <c r="E29">
        <v>47500</v>
      </c>
    </row>
    <row r="30" spans="1:5" x14ac:dyDescent="0.25">
      <c r="A30" t="s">
        <v>71</v>
      </c>
      <c r="B30">
        <v>343</v>
      </c>
      <c r="C30">
        <v>3.43</v>
      </c>
      <c r="D30">
        <v>400</v>
      </c>
      <c r="E30">
        <v>50000</v>
      </c>
    </row>
    <row r="31" spans="1:5" x14ac:dyDescent="0.25">
      <c r="A31" t="s">
        <v>33</v>
      </c>
      <c r="B31">
        <v>350</v>
      </c>
      <c r="C31">
        <v>3.5</v>
      </c>
      <c r="D31">
        <v>700</v>
      </c>
      <c r="E31">
        <v>87500</v>
      </c>
    </row>
    <row r="32" spans="1:5" x14ac:dyDescent="0.25">
      <c r="A32" t="s">
        <v>40</v>
      </c>
      <c r="B32">
        <v>367</v>
      </c>
      <c r="C32">
        <v>3.67</v>
      </c>
      <c r="D32">
        <v>700</v>
      </c>
      <c r="E32">
        <v>87500</v>
      </c>
    </row>
    <row r="33" spans="1:5" x14ac:dyDescent="0.25">
      <c r="A33" t="s">
        <v>43</v>
      </c>
      <c r="B33">
        <v>376</v>
      </c>
      <c r="C33">
        <v>3.76</v>
      </c>
      <c r="D33">
        <v>400</v>
      </c>
      <c r="E33">
        <v>50000</v>
      </c>
    </row>
    <row r="34" spans="1:5" x14ac:dyDescent="0.25">
      <c r="A34" t="s">
        <v>73</v>
      </c>
      <c r="B34">
        <v>383</v>
      </c>
      <c r="C34">
        <v>3.83</v>
      </c>
      <c r="D34">
        <v>480</v>
      </c>
      <c r="E34">
        <v>60000</v>
      </c>
    </row>
    <row r="35" spans="1:5" x14ac:dyDescent="0.25">
      <c r="A35" t="s">
        <v>37</v>
      </c>
      <c r="B35">
        <v>413</v>
      </c>
      <c r="C35">
        <v>4.13</v>
      </c>
      <c r="D35">
        <v>1000</v>
      </c>
      <c r="E35">
        <v>125000</v>
      </c>
    </row>
    <row r="36" spans="1:5" x14ac:dyDescent="0.25">
      <c r="A36" t="s">
        <v>74</v>
      </c>
      <c r="B36">
        <v>414</v>
      </c>
      <c r="C36">
        <v>4.1399999999999997</v>
      </c>
      <c r="D36">
        <v>550</v>
      </c>
      <c r="E36">
        <v>68750</v>
      </c>
    </row>
    <row r="37" spans="1:5" x14ac:dyDescent="0.25">
      <c r="A37" t="s">
        <v>44</v>
      </c>
      <c r="B37">
        <v>441</v>
      </c>
      <c r="C37">
        <v>4.41</v>
      </c>
      <c r="D37">
        <v>500</v>
      </c>
      <c r="E37">
        <v>62500</v>
      </c>
    </row>
    <row r="38" spans="1:5" x14ac:dyDescent="0.25">
      <c r="A38" t="s">
        <v>45</v>
      </c>
      <c r="B38">
        <v>472</v>
      </c>
      <c r="C38">
        <v>4.72</v>
      </c>
      <c r="D38">
        <v>600</v>
      </c>
      <c r="E38">
        <v>75000</v>
      </c>
    </row>
    <row r="39" spans="1:5" x14ac:dyDescent="0.25">
      <c r="A39" t="s">
        <v>75</v>
      </c>
      <c r="B39">
        <v>486</v>
      </c>
      <c r="C39">
        <v>4.8600000000000003</v>
      </c>
      <c r="D39">
        <v>580</v>
      </c>
      <c r="E39">
        <v>72500</v>
      </c>
    </row>
    <row r="40" spans="1:5" x14ac:dyDescent="0.25">
      <c r="A40" t="s">
        <v>46</v>
      </c>
      <c r="B40">
        <v>546</v>
      </c>
      <c r="C40">
        <v>5.46</v>
      </c>
      <c r="D40">
        <v>700</v>
      </c>
      <c r="E40">
        <v>87500</v>
      </c>
    </row>
    <row r="41" spans="1:5" x14ac:dyDescent="0.25">
      <c r="A41" t="s">
        <v>76</v>
      </c>
      <c r="B41">
        <v>558</v>
      </c>
      <c r="C41">
        <v>5.58</v>
      </c>
      <c r="D41">
        <v>650</v>
      </c>
      <c r="E41">
        <v>81250</v>
      </c>
    </row>
    <row r="42" spans="1:5" x14ac:dyDescent="0.25">
      <c r="A42" t="s">
        <v>47</v>
      </c>
      <c r="B42">
        <v>573</v>
      </c>
      <c r="C42">
        <v>5.73</v>
      </c>
      <c r="D42">
        <v>800</v>
      </c>
      <c r="E42">
        <v>100000</v>
      </c>
    </row>
    <row r="43" spans="1:5" x14ac:dyDescent="0.25">
      <c r="A43" t="s">
        <v>77</v>
      </c>
      <c r="B43">
        <v>606</v>
      </c>
      <c r="C43">
        <v>6.06</v>
      </c>
      <c r="D43">
        <v>1000</v>
      </c>
      <c r="E43">
        <v>125000</v>
      </c>
    </row>
    <row r="44" spans="1:5" x14ac:dyDescent="0.25">
      <c r="A44" t="s">
        <v>48</v>
      </c>
      <c r="B44">
        <v>642</v>
      </c>
      <c r="C44">
        <v>6.42</v>
      </c>
      <c r="D44">
        <v>1200</v>
      </c>
      <c r="E44">
        <v>150000</v>
      </c>
    </row>
    <row r="45" spans="1:5" x14ac:dyDescent="0.25">
      <c r="A45" t="s">
        <v>78</v>
      </c>
      <c r="B45">
        <v>643</v>
      </c>
      <c r="C45">
        <v>6.43</v>
      </c>
      <c r="D45">
        <v>1100</v>
      </c>
      <c r="E45">
        <v>137500</v>
      </c>
    </row>
    <row r="46" spans="1:5" x14ac:dyDescent="0.25">
      <c r="A46" t="s">
        <v>49</v>
      </c>
      <c r="B46">
        <v>648</v>
      </c>
      <c r="C46">
        <v>6.48</v>
      </c>
      <c r="D46">
        <v>1500</v>
      </c>
      <c r="E46">
        <v>187500</v>
      </c>
    </row>
    <row r="47" spans="1:5" x14ac:dyDescent="0.25">
      <c r="A47" t="s">
        <v>50</v>
      </c>
      <c r="B47">
        <v>700</v>
      </c>
      <c r="C47">
        <v>7</v>
      </c>
      <c r="D47">
        <v>2000</v>
      </c>
      <c r="E47">
        <v>250000</v>
      </c>
    </row>
    <row r="48" spans="1:5" x14ac:dyDescent="0.25">
      <c r="A48" t="s">
        <v>79</v>
      </c>
      <c r="B48">
        <v>706</v>
      </c>
      <c r="C48">
        <v>7.06</v>
      </c>
      <c r="D48">
        <v>900</v>
      </c>
      <c r="E48">
        <v>112500</v>
      </c>
    </row>
    <row r="49" spans="1:5" x14ac:dyDescent="0.25">
      <c r="A49" t="s">
        <v>54</v>
      </c>
      <c r="B49">
        <v>811</v>
      </c>
      <c r="C49">
        <v>8.11</v>
      </c>
      <c r="D49">
        <v>1200</v>
      </c>
      <c r="E49">
        <v>150000</v>
      </c>
    </row>
    <row r="50" spans="1:5" x14ac:dyDescent="0.25">
      <c r="A50" t="s">
        <v>82</v>
      </c>
      <c r="B50">
        <v>844</v>
      </c>
      <c r="C50">
        <v>8.44</v>
      </c>
      <c r="D50">
        <v>1000</v>
      </c>
      <c r="E50">
        <v>125000</v>
      </c>
    </row>
    <row r="51" spans="1:5" x14ac:dyDescent="0.25">
      <c r="A51" t="s">
        <v>55</v>
      </c>
      <c r="B51">
        <v>1014</v>
      </c>
      <c r="C51">
        <v>10.14</v>
      </c>
      <c r="D51">
        <v>1600</v>
      </c>
      <c r="E51">
        <v>200000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tier_score_sheet</vt:lpstr>
      <vt:lpstr>comment_table</vt:lpstr>
      <vt:lpstr>overall_tier_scores</vt:lpstr>
      <vt:lpstr>tier_score_sheet_copy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2023-01-02T06:20:45Z</dcterms:created>
  <dcterms:modified xsi:type="dcterms:W3CDTF">2023-02-12T05:35:06Z</dcterms:modified>
</cp:coreProperties>
</file>