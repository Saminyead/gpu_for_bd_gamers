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Project\GPU_Project\"/>
    </mc:Choice>
  </mc:AlternateContent>
  <bookViews>
    <workbookView xWindow="0" yWindow="0" windowWidth="28800" windowHeight="12330"/>
  </bookViews>
  <sheets>
    <sheet name="tier_score_sheet" sheetId="1" r:id="rId1"/>
    <sheet name="comment_table" sheetId="3" r:id="rId2"/>
    <sheet name="tier_score_sheet_copy" sheetId="2" r:id="rId3"/>
  </sheets>
  <calcPr calcId="162913"/>
</workbook>
</file>

<file path=xl/calcChain.xml><?xml version="1.0" encoding="utf-8"?>
<calcChain xmlns="http://schemas.openxmlformats.org/spreadsheetml/2006/main">
  <c r="G21" i="1" l="1"/>
  <c r="F21" i="1"/>
  <c r="D21" i="1"/>
  <c r="C21" i="1"/>
  <c r="Y18" i="1"/>
  <c r="D27" i="1" l="1"/>
  <c r="F33" i="1"/>
  <c r="D44" i="1"/>
  <c r="D33" i="1"/>
  <c r="Y28" i="1"/>
  <c r="G33" i="1" l="1"/>
  <c r="D7" i="1"/>
  <c r="D8" i="1"/>
  <c r="D13" i="1"/>
  <c r="D14" i="1"/>
  <c r="D16" i="1"/>
  <c r="D17" i="1"/>
  <c r="D18" i="1"/>
  <c r="D19" i="1"/>
  <c r="D20" i="1"/>
  <c r="D22" i="1"/>
  <c r="D23" i="1"/>
  <c r="D24" i="1"/>
  <c r="D25" i="1"/>
  <c r="D26" i="1"/>
  <c r="D28" i="1"/>
  <c r="D29" i="1"/>
  <c r="D30" i="1"/>
  <c r="D31" i="1"/>
  <c r="D32" i="1"/>
  <c r="D45" i="1"/>
  <c r="D46" i="1"/>
  <c r="D47" i="1"/>
  <c r="D48" i="1"/>
  <c r="D49" i="1"/>
  <c r="D50" i="1"/>
  <c r="D51" i="1"/>
  <c r="D52" i="1"/>
  <c r="D53" i="1"/>
  <c r="C33" i="1"/>
  <c r="E2" i="1" l="1"/>
  <c r="F53" i="1"/>
  <c r="F52" i="1"/>
  <c r="F51" i="1"/>
  <c r="F50" i="1"/>
  <c r="F49" i="1"/>
  <c r="F48" i="1"/>
  <c r="F47" i="1"/>
  <c r="F46" i="1"/>
  <c r="F45" i="1"/>
  <c r="F44" i="1"/>
  <c r="F42" i="1"/>
  <c r="F41" i="1"/>
  <c r="F40" i="1"/>
  <c r="F39" i="1"/>
  <c r="F38" i="1"/>
  <c r="F37" i="1"/>
  <c r="F36" i="1"/>
  <c r="F35" i="1"/>
  <c r="F32" i="1"/>
  <c r="F31" i="1"/>
  <c r="F30" i="1"/>
  <c r="F29" i="1"/>
  <c r="F28" i="1"/>
  <c r="F27" i="1"/>
  <c r="F26" i="1"/>
  <c r="F25" i="1"/>
  <c r="F24" i="1"/>
  <c r="F23" i="1"/>
  <c r="F22" i="1"/>
  <c r="F20" i="1"/>
  <c r="F19" i="1"/>
  <c r="F18" i="1"/>
  <c r="F17" i="1"/>
  <c r="F16" i="1"/>
  <c r="F14" i="1"/>
  <c r="F13" i="1"/>
  <c r="F12" i="1"/>
  <c r="F11" i="1"/>
  <c r="F10" i="1"/>
  <c r="F9" i="1"/>
  <c r="F8" i="1"/>
  <c r="F7" i="1"/>
  <c r="F6" i="1"/>
  <c r="F5" i="1"/>
  <c r="F2" i="1"/>
  <c r="G43" i="1"/>
  <c r="G15" i="1"/>
  <c r="C35" i="1" l="1"/>
  <c r="C26" i="1"/>
  <c r="G46" i="1"/>
  <c r="G42" i="1"/>
  <c r="Y54" i="1"/>
  <c r="G2" i="1" s="1"/>
  <c r="Y52" i="1"/>
  <c r="G53" i="1" s="1"/>
  <c r="Y51" i="1"/>
  <c r="G52" i="1" s="1"/>
  <c r="Y50" i="1"/>
  <c r="G51" i="1" s="1"/>
  <c r="Y49" i="1"/>
  <c r="G50" i="1" s="1"/>
  <c r="Y48" i="1"/>
  <c r="G49" i="1" s="1"/>
  <c r="Y47" i="1"/>
  <c r="G48" i="1" s="1"/>
  <c r="Y46" i="1"/>
  <c r="G47" i="1" s="1"/>
  <c r="Y45" i="1"/>
  <c r="Y43" i="1"/>
  <c r="G45" i="1" s="1"/>
  <c r="Y42" i="1"/>
  <c r="G44" i="1" s="1"/>
  <c r="Y41" i="1"/>
  <c r="Y40" i="1"/>
  <c r="G40" i="1" s="1"/>
  <c r="Y39" i="1"/>
  <c r="G39" i="1" s="1"/>
  <c r="Y38" i="1"/>
  <c r="G37" i="1" s="1"/>
  <c r="Y36" i="1"/>
  <c r="G36" i="1" s="1"/>
  <c r="Y35" i="1"/>
  <c r="G35" i="1" s="1"/>
  <c r="Y33" i="1"/>
  <c r="Y32" i="1"/>
  <c r="G41" i="1" s="1"/>
  <c r="Y31" i="1"/>
  <c r="G38" i="1" s="1"/>
  <c r="Y30" i="1"/>
  <c r="G32" i="1" s="1"/>
  <c r="Y29" i="1"/>
  <c r="G31" i="1" s="1"/>
  <c r="Y27" i="1"/>
  <c r="G30" i="1" s="1"/>
  <c r="Y26" i="1"/>
  <c r="G29" i="1" s="1"/>
  <c r="Y25" i="1"/>
  <c r="G28" i="1" s="1"/>
  <c r="Y24" i="1"/>
  <c r="G27" i="1" s="1"/>
  <c r="Y23" i="1"/>
  <c r="G26" i="1" s="1"/>
  <c r="Y22" i="1"/>
  <c r="G25" i="1" s="1"/>
  <c r="Y21" i="1"/>
  <c r="G24" i="1" s="1"/>
  <c r="Y20" i="1"/>
  <c r="G23" i="1" s="1"/>
  <c r="Y19" i="1"/>
  <c r="G22" i="1" s="1"/>
  <c r="Y17" i="1"/>
  <c r="G20" i="1" s="1"/>
  <c r="Y16" i="1"/>
  <c r="G19" i="1" s="1"/>
  <c r="Y15" i="1"/>
  <c r="G18" i="1" s="1"/>
  <c r="Y14" i="1"/>
  <c r="G17" i="1" s="1"/>
  <c r="Y13" i="1"/>
  <c r="G16" i="1" s="1"/>
  <c r="Y12" i="1"/>
  <c r="Y11" i="1"/>
  <c r="G14" i="1" s="1"/>
  <c r="Y10" i="1"/>
  <c r="G13" i="1" s="1"/>
  <c r="Y9" i="1"/>
  <c r="G12" i="1" s="1"/>
  <c r="Y8" i="1"/>
  <c r="G11" i="1" s="1"/>
  <c r="Y7" i="1"/>
  <c r="G10" i="1" s="1"/>
  <c r="Y6" i="1"/>
  <c r="G9" i="1" s="1"/>
  <c r="Y5" i="1"/>
  <c r="G8" i="1" s="1"/>
  <c r="Y4" i="1"/>
  <c r="G7" i="1" s="1"/>
  <c r="Y3" i="1"/>
  <c r="G6" i="1" s="1"/>
  <c r="Y2" i="1"/>
  <c r="G5" i="1" s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4" i="1"/>
  <c r="C32" i="1"/>
  <c r="C31" i="1"/>
  <c r="C30" i="1"/>
  <c r="C29" i="1"/>
  <c r="C28" i="1"/>
  <c r="C27" i="1"/>
  <c r="C25" i="1"/>
  <c r="C24" i="1"/>
  <c r="C23" i="1"/>
  <c r="C22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<sst xmlns="http://schemas.openxmlformats.org/spreadsheetml/2006/main" count="243" uniqueCount="108">
  <si>
    <t>gpu_name_tpu</t>
  </si>
  <si>
    <t>performance</t>
  </si>
  <si>
    <t>Radeon RX 570</t>
  </si>
  <si>
    <t>Radeon RX 5500 OEM</t>
  </si>
  <si>
    <t>Radeon RX 580</t>
  </si>
  <si>
    <t>Radeon RX 590</t>
  </si>
  <si>
    <t>Radeon RX 5600 XT</t>
  </si>
  <si>
    <t>Radeon RX 5700</t>
  </si>
  <si>
    <t>Radeon RX 6600</t>
  </si>
  <si>
    <t>Radeon RX 5700 XT</t>
  </si>
  <si>
    <t>Radeon RX 6600 XT</t>
  </si>
  <si>
    <t>Radeon RX 6650 XT</t>
  </si>
  <si>
    <t>Radeon RX 6700 XT</t>
  </si>
  <si>
    <t>Radeon RX 6750 XT</t>
  </si>
  <si>
    <t>Radeon RX 6800</t>
  </si>
  <si>
    <t>Radeon RX 6800 XT</t>
  </si>
  <si>
    <t>Radeon RX 6900 XT</t>
  </si>
  <si>
    <t>Radeon RX 6950 XT</t>
  </si>
  <si>
    <t>Radeon RX 7900 XT</t>
  </si>
  <si>
    <t>Radeon RX 7900 XTX</t>
  </si>
  <si>
    <t>base_tier_score</t>
  </si>
  <si>
    <t>GPU Unit Name</t>
  </si>
  <si>
    <t>Positive Code</t>
  </si>
  <si>
    <t>Negative Code</t>
  </si>
  <si>
    <t>Lauch MSRP (in USD)</t>
  </si>
  <si>
    <t>MSRP Adjusted for Exchange Rate (in BDT)</t>
  </si>
  <si>
    <t>Geforce GTX 1050 Ti</t>
  </si>
  <si>
    <t>Geforce GTX 1060</t>
  </si>
  <si>
    <t>Geforce GTX 1650 GDDR5</t>
  </si>
  <si>
    <t>low_power low_profile</t>
  </si>
  <si>
    <t>Geforce GTX 1650 GDDR6</t>
  </si>
  <si>
    <t>Geforce GTX 1650 Super</t>
  </si>
  <si>
    <t>Geforce GTX 1660</t>
  </si>
  <si>
    <t>Geforce GTX 1660 Super</t>
  </si>
  <si>
    <t>Geforce GTX 1660 Ti</t>
  </si>
  <si>
    <t>Geforce RTX 2060</t>
  </si>
  <si>
    <t>rt_1 dlss_2</t>
  </si>
  <si>
    <t>Geforce RTX 2060 Super</t>
  </si>
  <si>
    <t xml:space="preserve">Geforce RTX 2070 </t>
  </si>
  <si>
    <t>Geforce RTX 2070 Super</t>
  </si>
  <si>
    <t>Geforce RTX 2080</t>
  </si>
  <si>
    <t>Geforce RTX 2080 Super</t>
  </si>
  <si>
    <t>Geforce RTX 2080 Ti</t>
  </si>
  <si>
    <t>Geforce RTX 3050</t>
  </si>
  <si>
    <t>rt_2 dlss_2</t>
  </si>
  <si>
    <t>Geforce RTX 3060</t>
  </si>
  <si>
    <t>Geforce RTX 3060 Ti</t>
  </si>
  <si>
    <t>Geforce RTX 3070</t>
  </si>
  <si>
    <t>Geforce RTX 3070 Ti</t>
  </si>
  <si>
    <t>Geforce RTX 3080 10GB</t>
  </si>
  <si>
    <t>Geforce RTX 3080 12GB</t>
  </si>
  <si>
    <t>Geforce RTX 3080 Ti</t>
  </si>
  <si>
    <t>Geforce RTX 3090</t>
  </si>
  <si>
    <t>Geforce RTX 3090 Ti</t>
  </si>
  <si>
    <t>Geforce RTX 4080</t>
  </si>
  <si>
    <t>rt_3 dlss_2 dlss_3</t>
  </si>
  <si>
    <t>Geforce RTX 4090</t>
  </si>
  <si>
    <t>Radeon RX 5500 XT 4GB</t>
  </si>
  <si>
    <t>Radeon RX 5500 XT 8GB</t>
  </si>
  <si>
    <t>Radeon RX 5600</t>
  </si>
  <si>
    <t xml:space="preserve">Radeon RX 6600 </t>
  </si>
  <si>
    <t>Radeon RX 6700</t>
  </si>
  <si>
    <t>Intel Arc A310</t>
  </si>
  <si>
    <t>Intel Arc A380</t>
  </si>
  <si>
    <t>arc_driver_issues</t>
  </si>
  <si>
    <t>Intel Arc A580</t>
  </si>
  <si>
    <t>Intel Arc A750</t>
  </si>
  <si>
    <t>Intel Arc A770 (8 GB)</t>
  </si>
  <si>
    <t>Intel Arc A770 (16 GB)</t>
  </si>
  <si>
    <t>launch_msrp_usd</t>
  </si>
  <si>
    <t>launch_msrp_bdt_current_market</t>
  </si>
  <si>
    <t>Geforce GTX 1650 SUPER</t>
  </si>
  <si>
    <t>Geforce GTX 1660 SUPER</t>
  </si>
  <si>
    <t>Geforce RTX 2060 SUPER</t>
  </si>
  <si>
    <t>Geforce RTX 2070</t>
  </si>
  <si>
    <t>Geforce RTX 2070 SUPER</t>
  </si>
  <si>
    <t>Geforce RTX 2080 SUPER</t>
  </si>
  <si>
    <t>Intel Arc A770</t>
  </si>
  <si>
    <t>positive_comment_code</t>
  </si>
  <si>
    <t>negative_comment_code</t>
  </si>
  <si>
    <t>comment_code</t>
  </si>
  <si>
    <t>comment_desc</t>
  </si>
  <si>
    <t>score</t>
  </si>
  <si>
    <t>rt_1</t>
  </si>
  <si>
    <t>1st generation ray tracing capabilities or equivalent/limited ray tracing capabilities</t>
  </si>
  <si>
    <t>rt_2</t>
  </si>
  <si>
    <t>2nd generation ray tracing capabilities or equivalent</t>
  </si>
  <si>
    <t>rt_3</t>
  </si>
  <si>
    <t>3rd generation ray tracing capabilities or equivalent</t>
  </si>
  <si>
    <t>dlss_2</t>
  </si>
  <si>
    <t>supports Nvidia's DLSS (Deep Learning Super Sampling) 2 upscaling technology, increasing FPS in supported games</t>
  </si>
  <si>
    <t>dlss_3</t>
  </si>
  <si>
    <t>supports Nvidia's DLSS (Deep Learning Super Sampling) 3.0 upscaling technology, currently the technology can potentially noticably degrade visual quality, and increase input latency unlike DLSS 2</t>
  </si>
  <si>
    <t>low_power</t>
  </si>
  <si>
    <t>low power consumption (just 75 watts), no need for external power connection</t>
  </si>
  <si>
    <t>currently Intel Arc GPU drivers have several issues affecting performance and stability</t>
  </si>
  <si>
    <t>radeon_high_temp</t>
  </si>
  <si>
    <t>the Radeon RX 7900 XT and 7900 XTX currently having high junction temperature issues</t>
  </si>
  <si>
    <t>low_profile</t>
  </si>
  <si>
    <t>low profile graphics card, should fit a mini-ITX case easily</t>
  </si>
  <si>
    <t>monster_size</t>
  </si>
  <si>
    <t>graphics card is very large and may require a case upgrade (over 300 mm in length and/or 60 mm in height)</t>
  </si>
  <si>
    <t>Geforce RTX 4070 Ti</t>
  </si>
  <si>
    <t>gpu_name</t>
  </si>
  <si>
    <t xml:space="preserve">rt_1  </t>
  </si>
  <si>
    <t xml:space="preserve">rt_2  </t>
  </si>
  <si>
    <t>Geforce RTX 3060 12GB</t>
  </si>
  <si>
    <t>Geforce RTX 3060 8GB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</si>
</sst>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3" fillId="2" borderId="0" applyNumberFormat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NumberFormat="1"/>
    <xf numFmtId="0" fontId="5" fillId="0" borderId="1" xfId="0" applyFont="1" applyBorder="1" applyAlignment="1">
      <alignment horizontal="center" vertical="top"/>
    </xf>
    <xf numFmtId="0" fontId="4" fillId="0" borderId="0" xfId="0" applyFont="1"/>
    <xf numFmtId="0" fontId="3" fillId="2" borderId="0" xfId="2"/>
    <xf numFmtId="43" fontId="3" fillId="2" borderId="0" xfId="2" applyNumberFormat="1"/>
    <xf numFmtId="43" fontId="0" fillId="0" borderId="0" xfId="1" applyFont="1"/>
    <xf numFmtId="0" fontId="5" fillId="0" borderId="2" xfId="0" applyFont="1" applyFill="1" applyBorder="1" applyAlignment="1">
      <alignment horizontal="center" vertical="top"/>
    </xf>
  </cellXfs>
  <cellStyles count="3">
    <cellStyle name="Comma" xfId="1" builtinId="3"/>
    <cellStyle name="Good" xfId="2" builtinId="26"/>
    <cellStyle name="Normal" xfId="0" builtinId="0"/>
  </cellStyles>
  <dxfs count="3"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Table1" displayName="Table1" ref="A1:G53" totalsRowShown="0" headerRowDxfId="2">
  <autoFilter ref="A1:G53"/>
  <tableColumns count="7">
    <tableColumn id="1" name="gpu_name"/>
    <tableColumn id="2" name="performance" dataDxfId="1"/>
    <tableColumn id="3" name="base_tier_score">
      <calculatedColumnFormula>B2/100</calculatedColumnFormula>
    </tableColumn>
    <tableColumn id="4" name="positive_comment_code" dataDxfId="0">
      <calculatedColumnFormula>VLOOKUP(A2,$U$2:$Y$58,2,FALSE)</calculatedColumnFormula>
    </tableColumn>
    <tableColumn id="5" name="negative_comment_code"/>
    <tableColumn id="6" name="launch_msrp_usd">
      <calculatedColumnFormula>VLOOKUP(A2,$U$2:$Y$58,4,FALSE)</calculatedColumnFormula>
    </tableColumn>
    <tableColumn id="7" name="launch_msrp_bdt_current_market">
      <calculatedColumnFormula>F2*125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58"/>
  <sheetViews>
    <sheetView tabSelected="1" workbookViewId="0">
      <pane xSplit="1" topLeftCell="B1" activePane="topRight" state="frozen"/>
      <selection activeCell="A13" sqref="A13"/>
      <selection pane="topRight" activeCell="D2" sqref="D2"/>
    </sheetView>
  </sheetViews>
  <sheetFormatPr defaultRowHeight="15" x14ac:dyDescent="0.25"/>
  <cols>
    <col min="1" max="1" width="26.28515625" bestFit="1" customWidth="1"/>
    <col min="2" max="2" width="14.5703125" customWidth="1"/>
    <col min="3" max="3" width="17.140625" customWidth="1"/>
    <col min="4" max="4" width="25" customWidth="1"/>
    <col min="5" max="5" width="25.5703125" customWidth="1"/>
    <col min="6" max="6" width="18.5703125" customWidth="1"/>
    <col min="7" max="7" width="33.140625" customWidth="1"/>
    <col min="15" max="15" width="14" customWidth="1"/>
    <col min="16" max="16" width="18" customWidth="1"/>
    <col min="21" max="21" width="23.140625" bestFit="1" customWidth="1"/>
    <col min="25" max="25" width="14.85546875" customWidth="1"/>
    <col min="28" max="28" width="16.28515625" bestFit="1" customWidth="1"/>
  </cols>
  <sheetData>
    <row r="1" spans="1:25" x14ac:dyDescent="0.25">
      <c r="A1" s="1" t="s">
        <v>103</v>
      </c>
      <c r="B1" s="1" t="s">
        <v>1</v>
      </c>
      <c r="C1" s="3" t="s">
        <v>20</v>
      </c>
      <c r="D1" s="8" t="s">
        <v>78</v>
      </c>
      <c r="E1" s="8" t="s">
        <v>79</v>
      </c>
      <c r="F1" s="8" t="s">
        <v>69</v>
      </c>
      <c r="G1" s="8" t="s">
        <v>70</v>
      </c>
      <c r="U1" s="4" t="s">
        <v>21</v>
      </c>
      <c r="V1" s="4" t="s">
        <v>22</v>
      </c>
      <c r="W1" s="4" t="s">
        <v>23</v>
      </c>
      <c r="X1" s="4" t="s">
        <v>24</v>
      </c>
      <c r="Y1" s="4" t="s">
        <v>25</v>
      </c>
    </row>
    <row r="2" spans="1:25" x14ac:dyDescent="0.25">
      <c r="A2" t="s">
        <v>63</v>
      </c>
      <c r="B2" s="2">
        <v>121</v>
      </c>
      <c r="C2">
        <f>B2/100</f>
        <v>1.21</v>
      </c>
      <c r="E2" t="str">
        <f>VLOOKUP($A2,$U$2:$Y$58,3,FALSE)</f>
        <v>arc_driver_issues</v>
      </c>
      <c r="F2">
        <f>VLOOKUP(A2,$U$2:$Y$58,4,FALSE)</f>
        <v>140</v>
      </c>
      <c r="G2">
        <f>F2*125</f>
        <v>17500</v>
      </c>
      <c r="U2" s="5" t="s">
        <v>26</v>
      </c>
      <c r="V2" s="5"/>
      <c r="W2" s="5"/>
      <c r="X2" s="5">
        <v>140</v>
      </c>
      <c r="Y2" s="6">
        <f>X2*125</f>
        <v>17500</v>
      </c>
    </row>
    <row r="3" spans="1:25" x14ac:dyDescent="0.25">
      <c r="A3" t="s">
        <v>66</v>
      </c>
      <c r="B3" s="2">
        <v>281</v>
      </c>
      <c r="C3">
        <f t="shared" ref="C3:C25" si="0">B3/100</f>
        <v>2.81</v>
      </c>
      <c r="E3" t="s">
        <v>64</v>
      </c>
      <c r="U3" s="5" t="s">
        <v>27</v>
      </c>
      <c r="V3" s="5"/>
      <c r="W3" s="5"/>
      <c r="X3" s="5">
        <v>300</v>
      </c>
      <c r="Y3" s="6">
        <f t="shared" ref="Y3:Y27" si="1">X3*125</f>
        <v>37500</v>
      </c>
    </row>
    <row r="4" spans="1:25" x14ac:dyDescent="0.25">
      <c r="A4" t="s">
        <v>77</v>
      </c>
      <c r="B4" s="2">
        <v>301</v>
      </c>
      <c r="C4">
        <f t="shared" si="0"/>
        <v>3.01</v>
      </c>
      <c r="E4" t="s">
        <v>64</v>
      </c>
      <c r="U4" s="5" t="s">
        <v>28</v>
      </c>
      <c r="V4" s="5" t="s">
        <v>29</v>
      </c>
      <c r="W4" s="5"/>
      <c r="X4" s="5">
        <v>150</v>
      </c>
      <c r="Y4" s="6">
        <f t="shared" si="1"/>
        <v>18750</v>
      </c>
    </row>
    <row r="5" spans="1:25" x14ac:dyDescent="0.25">
      <c r="A5" t="s">
        <v>26</v>
      </c>
      <c r="B5" s="2">
        <v>100</v>
      </c>
      <c r="C5">
        <f t="shared" si="0"/>
        <v>1</v>
      </c>
      <c r="F5">
        <f>VLOOKUP(A5,$U$2:$Y$58,4,FALSE)</f>
        <v>140</v>
      </c>
      <c r="G5">
        <f t="shared" ref="G5:G32" si="2">F5*125</f>
        <v>17500</v>
      </c>
      <c r="U5" s="5" t="s">
        <v>30</v>
      </c>
      <c r="V5" s="5" t="s">
        <v>29</v>
      </c>
      <c r="W5" s="5"/>
      <c r="X5" s="5">
        <v>150</v>
      </c>
      <c r="Y5" s="6">
        <f t="shared" si="1"/>
        <v>18750</v>
      </c>
    </row>
    <row r="6" spans="1:25" x14ac:dyDescent="0.25">
      <c r="A6" t="s">
        <v>27</v>
      </c>
      <c r="B6" s="2">
        <v>160</v>
      </c>
      <c r="C6">
        <f t="shared" si="0"/>
        <v>1.6</v>
      </c>
      <c r="F6">
        <f>VLOOKUP(A6,$U$2:$Y$58,4,FALSE)</f>
        <v>300</v>
      </c>
      <c r="G6">
        <f t="shared" si="2"/>
        <v>37500</v>
      </c>
      <c r="U6" s="5" t="s">
        <v>31</v>
      </c>
      <c r="V6" s="5"/>
      <c r="W6" s="5"/>
      <c r="X6" s="5">
        <v>160</v>
      </c>
      <c r="Y6" s="6">
        <f t="shared" si="1"/>
        <v>20000</v>
      </c>
    </row>
    <row r="7" spans="1:25" x14ac:dyDescent="0.25">
      <c r="A7" t="s">
        <v>28</v>
      </c>
      <c r="B7" s="2">
        <v>125</v>
      </c>
      <c r="C7">
        <f t="shared" si="0"/>
        <v>1.25</v>
      </c>
      <c r="D7" t="str">
        <f>VLOOKUP($A7,$U$2:$Y$58,2,FALSE)</f>
        <v>low_power low_profile</v>
      </c>
      <c r="F7">
        <f>VLOOKUP(A7,$U$2:$Y$58,4,FALSE)</f>
        <v>150</v>
      </c>
      <c r="G7">
        <f t="shared" si="2"/>
        <v>18750</v>
      </c>
      <c r="U7" s="5" t="s">
        <v>32</v>
      </c>
      <c r="V7" s="5"/>
      <c r="W7" s="5"/>
      <c r="X7" s="5">
        <v>220</v>
      </c>
      <c r="Y7" s="6">
        <f t="shared" si="1"/>
        <v>27500</v>
      </c>
    </row>
    <row r="8" spans="1:25" x14ac:dyDescent="0.25">
      <c r="A8" t="s">
        <v>30</v>
      </c>
      <c r="B8" s="2">
        <v>139</v>
      </c>
      <c r="C8">
        <f t="shared" si="0"/>
        <v>1.39</v>
      </c>
      <c r="D8" t="str">
        <f>VLOOKUP(A8,$U$2:$Y$58,2,FALSE)</f>
        <v>low_power low_profile</v>
      </c>
      <c r="F8">
        <f>VLOOKUP(A8,$U$2:$Y$58,4,FALSE)</f>
        <v>150</v>
      </c>
      <c r="G8">
        <f t="shared" si="2"/>
        <v>18750</v>
      </c>
      <c r="U8" s="5" t="s">
        <v>33</v>
      </c>
      <c r="V8" s="5"/>
      <c r="W8" s="5"/>
      <c r="X8" s="5">
        <v>230</v>
      </c>
      <c r="Y8" s="6">
        <f t="shared" si="1"/>
        <v>28750</v>
      </c>
    </row>
    <row r="9" spans="1:25" x14ac:dyDescent="0.25">
      <c r="A9" t="s">
        <v>71</v>
      </c>
      <c r="B9" s="2">
        <v>169</v>
      </c>
      <c r="C9">
        <f t="shared" si="0"/>
        <v>1.69</v>
      </c>
      <c r="F9">
        <f>VLOOKUP(A9,$U$2:$Y$58,4,FALSE)</f>
        <v>160</v>
      </c>
      <c r="G9">
        <f t="shared" si="2"/>
        <v>20000</v>
      </c>
      <c r="U9" s="5" t="s">
        <v>34</v>
      </c>
      <c r="V9" s="5"/>
      <c r="W9" s="5"/>
      <c r="X9" s="5">
        <v>280</v>
      </c>
      <c r="Y9" s="6">
        <f t="shared" si="1"/>
        <v>35000</v>
      </c>
    </row>
    <row r="10" spans="1:25" x14ac:dyDescent="0.25">
      <c r="A10" t="s">
        <v>32</v>
      </c>
      <c r="B10" s="2">
        <v>187</v>
      </c>
      <c r="C10">
        <f t="shared" si="0"/>
        <v>1.87</v>
      </c>
      <c r="F10">
        <f>VLOOKUP(A10,$U$2:$Y$58,4,FALSE)</f>
        <v>220</v>
      </c>
      <c r="G10">
        <f t="shared" si="2"/>
        <v>27500</v>
      </c>
      <c r="U10" t="s">
        <v>35</v>
      </c>
      <c r="V10" t="s">
        <v>36</v>
      </c>
      <c r="X10">
        <v>300</v>
      </c>
      <c r="Y10" s="7">
        <f t="shared" si="1"/>
        <v>37500</v>
      </c>
    </row>
    <row r="11" spans="1:25" x14ac:dyDescent="0.25">
      <c r="A11" t="s">
        <v>72</v>
      </c>
      <c r="B11" s="2">
        <v>210</v>
      </c>
      <c r="C11">
        <f t="shared" si="0"/>
        <v>2.1</v>
      </c>
      <c r="F11">
        <f>VLOOKUP(A11,$U$2:$Y$58,4,FALSE)</f>
        <v>230</v>
      </c>
      <c r="G11">
        <f t="shared" si="2"/>
        <v>28750</v>
      </c>
      <c r="U11" t="s">
        <v>37</v>
      </c>
      <c r="V11" t="s">
        <v>36</v>
      </c>
      <c r="X11">
        <v>400</v>
      </c>
      <c r="Y11" s="7">
        <f t="shared" si="1"/>
        <v>50000</v>
      </c>
    </row>
    <row r="12" spans="1:25" x14ac:dyDescent="0.25">
      <c r="A12" t="s">
        <v>34</v>
      </c>
      <c r="B12" s="2">
        <v>215</v>
      </c>
      <c r="C12">
        <f t="shared" si="0"/>
        <v>2.15</v>
      </c>
      <c r="F12">
        <f>VLOOKUP(A12,$U$2:$Y$58,4,FALSE)</f>
        <v>280</v>
      </c>
      <c r="G12">
        <f t="shared" si="2"/>
        <v>35000</v>
      </c>
      <c r="U12" t="s">
        <v>38</v>
      </c>
      <c r="V12" t="s">
        <v>36</v>
      </c>
      <c r="X12">
        <v>500</v>
      </c>
      <c r="Y12" s="7">
        <f t="shared" si="1"/>
        <v>62500</v>
      </c>
    </row>
    <row r="13" spans="1:25" x14ac:dyDescent="0.25">
      <c r="A13" t="s">
        <v>35</v>
      </c>
      <c r="B13" s="2">
        <v>253</v>
      </c>
      <c r="C13">
        <f t="shared" si="0"/>
        <v>2.5299999999999998</v>
      </c>
      <c r="D13" t="str">
        <f>VLOOKUP(A13,$U$2:$Y$58,2,FALSE)</f>
        <v>rt_1 dlss_2</v>
      </c>
      <c r="F13">
        <f>VLOOKUP(A13,$U$2:$Y$58,4,FALSE)</f>
        <v>300</v>
      </c>
      <c r="G13">
        <f t="shared" si="2"/>
        <v>37500</v>
      </c>
      <c r="U13" t="s">
        <v>39</v>
      </c>
      <c r="V13" t="s">
        <v>36</v>
      </c>
      <c r="X13">
        <v>500</v>
      </c>
      <c r="Y13" s="7">
        <f t="shared" si="1"/>
        <v>62500</v>
      </c>
    </row>
    <row r="14" spans="1:25" x14ac:dyDescent="0.25">
      <c r="A14" t="s">
        <v>73</v>
      </c>
      <c r="B14" s="2">
        <v>284</v>
      </c>
      <c r="C14">
        <f t="shared" si="0"/>
        <v>2.84</v>
      </c>
      <c r="D14" t="str">
        <f>VLOOKUP(A14,$U$2:$Y$58,2,FALSE)</f>
        <v>rt_1 dlss_2</v>
      </c>
      <c r="F14">
        <f>VLOOKUP(A14,$U$2:$Y$58,4,FALSE)</f>
        <v>400</v>
      </c>
      <c r="G14">
        <f t="shared" si="2"/>
        <v>50000</v>
      </c>
      <c r="U14" t="s">
        <v>40</v>
      </c>
      <c r="V14" t="s">
        <v>36</v>
      </c>
      <c r="X14">
        <v>700</v>
      </c>
      <c r="Y14" s="7">
        <f t="shared" si="1"/>
        <v>87500</v>
      </c>
    </row>
    <row r="15" spans="1:25" x14ac:dyDescent="0.25">
      <c r="A15" t="s">
        <v>74</v>
      </c>
      <c r="B15" s="2">
        <v>295</v>
      </c>
      <c r="C15">
        <f t="shared" si="0"/>
        <v>2.95</v>
      </c>
      <c r="F15">
        <v>500</v>
      </c>
      <c r="G15">
        <f t="shared" si="2"/>
        <v>62500</v>
      </c>
      <c r="U15" t="s">
        <v>41</v>
      </c>
      <c r="V15" t="s">
        <v>36</v>
      </c>
      <c r="X15">
        <v>700</v>
      </c>
      <c r="Y15" s="7">
        <f t="shared" si="1"/>
        <v>87500</v>
      </c>
    </row>
    <row r="16" spans="1:25" x14ac:dyDescent="0.25">
      <c r="A16" t="s">
        <v>75</v>
      </c>
      <c r="B16" s="2">
        <v>326</v>
      </c>
      <c r="C16">
        <f t="shared" si="0"/>
        <v>3.26</v>
      </c>
      <c r="D16" t="str">
        <f>VLOOKUP(A16,$U$2:$Y$58,2,FALSE)</f>
        <v>rt_1 dlss_2</v>
      </c>
      <c r="F16">
        <f>VLOOKUP(A16,$U$2:$Y$58,4,FALSE)</f>
        <v>500</v>
      </c>
      <c r="G16">
        <f t="shared" si="2"/>
        <v>62500</v>
      </c>
      <c r="U16" t="s">
        <v>42</v>
      </c>
      <c r="V16" t="s">
        <v>36</v>
      </c>
      <c r="X16">
        <v>1000</v>
      </c>
      <c r="Y16" s="7">
        <f t="shared" si="1"/>
        <v>125000</v>
      </c>
    </row>
    <row r="17" spans="1:25" x14ac:dyDescent="0.25">
      <c r="A17" t="s">
        <v>40</v>
      </c>
      <c r="B17" s="2">
        <v>350</v>
      </c>
      <c r="C17">
        <f t="shared" si="0"/>
        <v>3.5</v>
      </c>
      <c r="D17" t="str">
        <f>VLOOKUP(A17,$U$2:$Y$58,2,FALSE)</f>
        <v>rt_1 dlss_2</v>
      </c>
      <c r="F17">
        <f>VLOOKUP(A17,$U$2:$Y$58,4,FALSE)</f>
        <v>700</v>
      </c>
      <c r="G17">
        <f t="shared" si="2"/>
        <v>87500</v>
      </c>
      <c r="U17" t="s">
        <v>43</v>
      </c>
      <c r="V17" t="s">
        <v>44</v>
      </c>
      <c r="X17">
        <v>250</v>
      </c>
      <c r="Y17" s="7">
        <f t="shared" si="1"/>
        <v>31250</v>
      </c>
    </row>
    <row r="18" spans="1:25" x14ac:dyDescent="0.25">
      <c r="A18" t="s">
        <v>76</v>
      </c>
      <c r="B18" s="2">
        <v>367</v>
      </c>
      <c r="C18">
        <f t="shared" si="0"/>
        <v>3.67</v>
      </c>
      <c r="D18" t="str">
        <f>VLOOKUP(A18,$U$2:$Y$58,2,FALSE)</f>
        <v>rt_1 dlss_2</v>
      </c>
      <c r="F18">
        <f>VLOOKUP(A18,$U$2:$Y$58,4,FALSE)</f>
        <v>700</v>
      </c>
      <c r="G18">
        <f t="shared" si="2"/>
        <v>87500</v>
      </c>
      <c r="U18" t="s">
        <v>107</v>
      </c>
      <c r="V18" t="s">
        <v>44</v>
      </c>
      <c r="X18">
        <v>330</v>
      </c>
      <c r="Y18" s="7">
        <f t="shared" si="1"/>
        <v>41250</v>
      </c>
    </row>
    <row r="19" spans="1:25" x14ac:dyDescent="0.25">
      <c r="A19" t="s">
        <v>42</v>
      </c>
      <c r="B19" s="2">
        <v>413</v>
      </c>
      <c r="C19">
        <f t="shared" si="0"/>
        <v>4.13</v>
      </c>
      <c r="D19" t="str">
        <f>VLOOKUP(A19,$U$2:$Y$58,2,FALSE)</f>
        <v>rt_1 dlss_2</v>
      </c>
      <c r="F19">
        <f>VLOOKUP(A19,$U$2:$Y$58,4,FALSE)</f>
        <v>1000</v>
      </c>
      <c r="G19">
        <f t="shared" si="2"/>
        <v>125000</v>
      </c>
      <c r="U19" t="s">
        <v>106</v>
      </c>
      <c r="V19" t="s">
        <v>44</v>
      </c>
      <c r="X19">
        <v>330</v>
      </c>
      <c r="Y19" s="7">
        <f>X19*125</f>
        <v>41250</v>
      </c>
    </row>
    <row r="20" spans="1:25" x14ac:dyDescent="0.25">
      <c r="A20" t="s">
        <v>43</v>
      </c>
      <c r="B20" s="2">
        <v>218</v>
      </c>
      <c r="C20">
        <f t="shared" si="0"/>
        <v>2.1800000000000002</v>
      </c>
      <c r="D20" t="str">
        <f>VLOOKUP(A20,$U$2:$Y$58,2,FALSE)</f>
        <v>rt_2 dlss_2</v>
      </c>
      <c r="F20">
        <f>VLOOKUP(A20,$U$2:$Y$58,4,FALSE)</f>
        <v>250</v>
      </c>
      <c r="G20">
        <f t="shared" si="2"/>
        <v>31250</v>
      </c>
      <c r="U20" t="s">
        <v>46</v>
      </c>
      <c r="V20" t="s">
        <v>44</v>
      </c>
      <c r="X20">
        <v>400</v>
      </c>
      <c r="Y20" s="7">
        <f>X20*125</f>
        <v>50000</v>
      </c>
    </row>
    <row r="21" spans="1:25" x14ac:dyDescent="0.25">
      <c r="A21" t="s">
        <v>107</v>
      </c>
      <c r="B21" s="2">
        <v>270</v>
      </c>
      <c r="C21">
        <f t="shared" si="0"/>
        <v>2.7</v>
      </c>
      <c r="D21" t="str">
        <f>VLOOKUP(A21,$U$2:$Y$58,2,FALSE)</f>
        <v>rt_2 dlss_2</v>
      </c>
      <c r="F21">
        <f>VLOOKUP(A21,$U$2:$Y$58,4,FALSE)</f>
        <v>330</v>
      </c>
      <c r="G21">
        <f>F21*125</f>
        <v>41250</v>
      </c>
      <c r="U21" t="s">
        <v>47</v>
      </c>
      <c r="V21" t="s">
        <v>44</v>
      </c>
      <c r="X21">
        <v>500</v>
      </c>
      <c r="Y21" s="7">
        <f>X21*125</f>
        <v>62500</v>
      </c>
    </row>
    <row r="22" spans="1:25" x14ac:dyDescent="0.25">
      <c r="A22" t="s">
        <v>106</v>
      </c>
      <c r="B22" s="2">
        <v>301</v>
      </c>
      <c r="C22">
        <f>B22/100</f>
        <v>3.01</v>
      </c>
      <c r="D22" s="2" t="str">
        <f>VLOOKUP(A22,$U$2:$Y$58,2,FALSE)</f>
        <v>rt_2 dlss_2</v>
      </c>
      <c r="F22">
        <f>VLOOKUP(A22,$U$2:$Y$58,4,FALSE)</f>
        <v>330</v>
      </c>
      <c r="G22">
        <f>F22*125</f>
        <v>41250</v>
      </c>
      <c r="U22" t="s">
        <v>48</v>
      </c>
      <c r="V22" t="s">
        <v>44</v>
      </c>
      <c r="X22">
        <v>600</v>
      </c>
      <c r="Y22" s="7">
        <f>X22*125</f>
        <v>75000</v>
      </c>
    </row>
    <row r="23" spans="1:25" x14ac:dyDescent="0.25">
      <c r="A23" t="s">
        <v>46</v>
      </c>
      <c r="B23" s="2">
        <v>376</v>
      </c>
      <c r="C23">
        <f>B23/100</f>
        <v>3.76</v>
      </c>
      <c r="D23" s="2" t="str">
        <f>VLOOKUP(A23,$U$2:$Y$58,2,FALSE)</f>
        <v>rt_2 dlss_2</v>
      </c>
      <c r="F23">
        <f>VLOOKUP(A23,$U$2:$Y$58,4,FALSE)</f>
        <v>400</v>
      </c>
      <c r="G23">
        <f>F23*125</f>
        <v>50000</v>
      </c>
      <c r="U23" t="s">
        <v>49</v>
      </c>
      <c r="V23" t="s">
        <v>44</v>
      </c>
      <c r="X23">
        <v>700</v>
      </c>
      <c r="Y23" s="7">
        <f>X23*125</f>
        <v>87500</v>
      </c>
    </row>
    <row r="24" spans="1:25" x14ac:dyDescent="0.25">
      <c r="A24" t="s">
        <v>47</v>
      </c>
      <c r="B24" s="2">
        <v>441</v>
      </c>
      <c r="C24">
        <f>B24/100</f>
        <v>4.41</v>
      </c>
      <c r="D24" s="2" t="str">
        <f>VLOOKUP(A24,$U$2:$Y$58,2,FALSE)</f>
        <v>rt_2 dlss_2</v>
      </c>
      <c r="F24">
        <f>VLOOKUP(A24,$U$2:$Y$58,4,FALSE)</f>
        <v>500</v>
      </c>
      <c r="G24">
        <f>F24*125</f>
        <v>62500</v>
      </c>
      <c r="U24" t="s">
        <v>50</v>
      </c>
      <c r="V24" t="s">
        <v>44</v>
      </c>
      <c r="X24">
        <v>800</v>
      </c>
      <c r="Y24" s="7">
        <f>X24*125</f>
        <v>100000</v>
      </c>
    </row>
    <row r="25" spans="1:25" x14ac:dyDescent="0.25">
      <c r="A25" t="s">
        <v>48</v>
      </c>
      <c r="B25" s="2">
        <v>472</v>
      </c>
      <c r="C25">
        <f>B25/100</f>
        <v>4.72</v>
      </c>
      <c r="D25" s="2" t="str">
        <f>VLOOKUP(A25,$U$2:$Y$58,2,FALSE)</f>
        <v>rt_2 dlss_2</v>
      </c>
      <c r="F25">
        <f>VLOOKUP(A25,$U$2:$Y$58,4,FALSE)</f>
        <v>600</v>
      </c>
      <c r="G25">
        <f>F25*125</f>
        <v>75000</v>
      </c>
      <c r="U25" t="s">
        <v>51</v>
      </c>
      <c r="V25" t="s">
        <v>44</v>
      </c>
      <c r="X25">
        <v>1200</v>
      </c>
      <c r="Y25" s="7">
        <f>X25*125</f>
        <v>150000</v>
      </c>
    </row>
    <row r="26" spans="1:25" x14ac:dyDescent="0.25">
      <c r="A26" t="s">
        <v>49</v>
      </c>
      <c r="B26" s="2">
        <v>546</v>
      </c>
      <c r="C26">
        <f>B26/100</f>
        <v>5.46</v>
      </c>
      <c r="D26" s="2" t="str">
        <f>VLOOKUP(A26,$U$2:$Y$58,2,FALSE)</f>
        <v>rt_2 dlss_2</v>
      </c>
      <c r="F26">
        <f>VLOOKUP(A26,$U$2:$Y$58,4,FALSE)</f>
        <v>700</v>
      </c>
      <c r="G26">
        <f>F26*125</f>
        <v>87500</v>
      </c>
      <c r="U26" t="s">
        <v>52</v>
      </c>
      <c r="V26" t="s">
        <v>44</v>
      </c>
      <c r="X26">
        <v>1500</v>
      </c>
      <c r="Y26" s="7">
        <f>X26*125</f>
        <v>187500</v>
      </c>
    </row>
    <row r="27" spans="1:25" x14ac:dyDescent="0.25">
      <c r="A27" t="s">
        <v>50</v>
      </c>
      <c r="B27" s="2">
        <v>573</v>
      </c>
      <c r="C27">
        <f t="shared" ref="C27:C33" si="3">B27/100</f>
        <v>5.73</v>
      </c>
      <c r="D27" s="2" t="str">
        <f>VLOOKUP(A27,$U$2:$Y$58,2,FALSE)</f>
        <v>rt_2 dlss_2</v>
      </c>
      <c r="F27">
        <f>VLOOKUP(A27,$U$2:$Y$58,4,FALSE)</f>
        <v>800</v>
      </c>
      <c r="G27">
        <f>F27*125</f>
        <v>100000</v>
      </c>
      <c r="U27" t="s">
        <v>53</v>
      </c>
      <c r="V27" t="s">
        <v>44</v>
      </c>
      <c r="X27">
        <v>2000</v>
      </c>
      <c r="Y27" s="7">
        <f>X27*125</f>
        <v>250000</v>
      </c>
    </row>
    <row r="28" spans="1:25" x14ac:dyDescent="0.25">
      <c r="A28" t="s">
        <v>51</v>
      </c>
      <c r="B28" s="2">
        <v>642</v>
      </c>
      <c r="C28">
        <f t="shared" si="3"/>
        <v>6.42</v>
      </c>
      <c r="D28" s="2" t="str">
        <f>VLOOKUP(A28,$U$2:$Y$58,2,FALSE)</f>
        <v>rt_2 dlss_2</v>
      </c>
      <c r="F28">
        <f>VLOOKUP(A28,$U$2:$Y$58,4,FALSE)</f>
        <v>1200</v>
      </c>
      <c r="G28">
        <f>F28*125</f>
        <v>150000</v>
      </c>
      <c r="U28" t="s">
        <v>102</v>
      </c>
      <c r="V28" t="s">
        <v>55</v>
      </c>
      <c r="X28">
        <v>800</v>
      </c>
      <c r="Y28" s="7">
        <f>X28*125</f>
        <v>100000</v>
      </c>
    </row>
    <row r="29" spans="1:25" x14ac:dyDescent="0.25">
      <c r="A29" t="s">
        <v>52</v>
      </c>
      <c r="B29" s="2">
        <v>648</v>
      </c>
      <c r="C29">
        <f t="shared" si="3"/>
        <v>6.48</v>
      </c>
      <c r="D29" s="2" t="str">
        <f>VLOOKUP(A29,$U$2:$Y$58,2,FALSE)</f>
        <v>rt_2 dlss_2</v>
      </c>
      <c r="E29" t="s">
        <v>100</v>
      </c>
      <c r="F29">
        <f>VLOOKUP(A29,$U$2:$Y$58,4,FALSE)</f>
        <v>1500</v>
      </c>
      <c r="G29">
        <f>F29*125</f>
        <v>187500</v>
      </c>
      <c r="U29" t="s">
        <v>54</v>
      </c>
      <c r="V29" t="s">
        <v>55</v>
      </c>
      <c r="X29">
        <v>1200</v>
      </c>
      <c r="Y29" s="7">
        <f>X29*125</f>
        <v>150000</v>
      </c>
    </row>
    <row r="30" spans="1:25" x14ac:dyDescent="0.25">
      <c r="A30" t="s">
        <v>53</v>
      </c>
      <c r="B30" s="2">
        <v>700</v>
      </c>
      <c r="C30">
        <f t="shared" si="3"/>
        <v>7</v>
      </c>
      <c r="D30" s="2" t="str">
        <f>VLOOKUP(A30,$U$2:$Y$58,2,FALSE)</f>
        <v>rt_2 dlss_2</v>
      </c>
      <c r="E30" t="s">
        <v>100</v>
      </c>
      <c r="F30">
        <f>VLOOKUP(A30,$U$2:$Y$58,4,FALSE)</f>
        <v>2000</v>
      </c>
      <c r="G30">
        <f>F30*125</f>
        <v>250000</v>
      </c>
      <c r="U30" t="s">
        <v>56</v>
      </c>
      <c r="V30" t="s">
        <v>55</v>
      </c>
      <c r="X30">
        <v>1600</v>
      </c>
      <c r="Y30" s="7">
        <f>X30*125</f>
        <v>200000</v>
      </c>
    </row>
    <row r="31" spans="1:25" x14ac:dyDescent="0.25">
      <c r="A31" t="s">
        <v>54</v>
      </c>
      <c r="B31" s="2">
        <v>811</v>
      </c>
      <c r="C31">
        <f t="shared" si="3"/>
        <v>8.11</v>
      </c>
      <c r="D31" s="2" t="str">
        <f>VLOOKUP(A31,$U$2:$Y$58,2,FALSE)</f>
        <v>rt_3 dlss_2 dlss_3</v>
      </c>
      <c r="E31" t="s">
        <v>100</v>
      </c>
      <c r="F31">
        <f>VLOOKUP(A31,$U$2:$Y$58,4,FALSE)</f>
        <v>1200</v>
      </c>
      <c r="G31">
        <f>F31*125</f>
        <v>150000</v>
      </c>
      <c r="U31" s="5" t="s">
        <v>2</v>
      </c>
      <c r="V31" s="5"/>
      <c r="W31" s="5"/>
      <c r="X31" s="5">
        <v>170</v>
      </c>
      <c r="Y31" s="6">
        <f>X31*125</f>
        <v>21250</v>
      </c>
    </row>
    <row r="32" spans="1:25" x14ac:dyDescent="0.25">
      <c r="A32" t="s">
        <v>56</v>
      </c>
      <c r="B32" s="2">
        <v>1014</v>
      </c>
      <c r="C32">
        <f t="shared" si="3"/>
        <v>10.14</v>
      </c>
      <c r="D32" s="2" t="str">
        <f>VLOOKUP(A32,$U$2:$Y$58,2,FALSE)</f>
        <v>rt_3 dlss_2 dlss_3</v>
      </c>
      <c r="E32" t="s">
        <v>100</v>
      </c>
      <c r="F32">
        <f>VLOOKUP(A32,$U$2:$Y$58,4,FALSE)</f>
        <v>1600</v>
      </c>
      <c r="G32">
        <f>F32*125</f>
        <v>200000</v>
      </c>
      <c r="U32" s="5" t="s">
        <v>4</v>
      </c>
      <c r="V32" s="5"/>
      <c r="W32" s="5"/>
      <c r="X32" s="5">
        <v>230</v>
      </c>
      <c r="Y32" s="6">
        <f>X32*125</f>
        <v>28750</v>
      </c>
    </row>
    <row r="33" spans="1:25" x14ac:dyDescent="0.25">
      <c r="A33" t="s">
        <v>102</v>
      </c>
      <c r="B33" s="2">
        <v>668</v>
      </c>
      <c r="C33">
        <f t="shared" si="3"/>
        <v>6.68</v>
      </c>
      <c r="D33" s="2" t="str">
        <f>VLOOKUP(A33,$U$2:$Y$58,2,FALSE)</f>
        <v>rt_3 dlss_2 dlss_3</v>
      </c>
      <c r="F33">
        <f>VLOOKUP(A33,$U$2:$Y$58,4,FALSE)</f>
        <v>800</v>
      </c>
      <c r="G33">
        <f>F33*125</f>
        <v>100000</v>
      </c>
      <c r="U33" s="5" t="s">
        <v>5</v>
      </c>
      <c r="V33" s="5"/>
      <c r="W33" s="5"/>
      <c r="X33" s="5">
        <v>280</v>
      </c>
      <c r="Y33" s="6">
        <f>X33*125</f>
        <v>35000</v>
      </c>
    </row>
    <row r="34" spans="1:25" x14ac:dyDescent="0.25">
      <c r="A34" t="s">
        <v>3</v>
      </c>
      <c r="B34" s="2">
        <v>162</v>
      </c>
      <c r="C34">
        <f t="shared" ref="C34:C53" si="4">B34/100</f>
        <v>1.62</v>
      </c>
      <c r="D34" s="2"/>
      <c r="U34" t="s">
        <v>3</v>
      </c>
      <c r="Y34" s="7"/>
    </row>
    <row r="35" spans="1:25" x14ac:dyDescent="0.25">
      <c r="A35" t="s">
        <v>57</v>
      </c>
      <c r="B35" s="2">
        <v>142</v>
      </c>
      <c r="C35">
        <f t="shared" si="4"/>
        <v>1.42</v>
      </c>
      <c r="D35" s="2"/>
      <c r="F35">
        <f>VLOOKUP(A35,$U$2:$Y$58,4,FALSE)</f>
        <v>170</v>
      </c>
      <c r="G35">
        <f t="shared" ref="G35:G53" si="5">F35*125</f>
        <v>21250</v>
      </c>
      <c r="U35" t="s">
        <v>57</v>
      </c>
      <c r="X35">
        <v>170</v>
      </c>
      <c r="Y35" s="7">
        <f>X35*125</f>
        <v>21250</v>
      </c>
    </row>
    <row r="36" spans="1:25" x14ac:dyDescent="0.25">
      <c r="A36" t="s">
        <v>58</v>
      </c>
      <c r="B36" s="2">
        <v>165</v>
      </c>
      <c r="C36">
        <f t="shared" si="4"/>
        <v>1.65</v>
      </c>
      <c r="D36" s="2"/>
      <c r="F36">
        <f>VLOOKUP(A36,$U$2:$Y$58,4,FALSE)</f>
        <v>200</v>
      </c>
      <c r="G36">
        <f t="shared" si="5"/>
        <v>25000</v>
      </c>
      <c r="U36" t="s">
        <v>58</v>
      </c>
      <c r="X36">
        <v>200</v>
      </c>
      <c r="Y36" s="7">
        <f>X36*125</f>
        <v>25000</v>
      </c>
    </row>
    <row r="37" spans="1:25" x14ac:dyDescent="0.25">
      <c r="A37" t="s">
        <v>6</v>
      </c>
      <c r="B37" s="2">
        <v>246</v>
      </c>
      <c r="C37">
        <f t="shared" si="4"/>
        <v>2.46</v>
      </c>
      <c r="D37" s="2"/>
      <c r="F37">
        <f>VLOOKUP(A37,$U$2:$Y$58,4,FALSE)</f>
        <v>280</v>
      </c>
      <c r="G37">
        <f t="shared" si="5"/>
        <v>35000</v>
      </c>
      <c r="U37" t="s">
        <v>59</v>
      </c>
      <c r="Y37" s="7"/>
    </row>
    <row r="38" spans="1:25" x14ac:dyDescent="0.25">
      <c r="A38" t="s">
        <v>2</v>
      </c>
      <c r="B38" s="2">
        <v>142</v>
      </c>
      <c r="C38">
        <f t="shared" si="4"/>
        <v>1.42</v>
      </c>
      <c r="D38" s="2"/>
      <c r="F38">
        <f>VLOOKUP(A38,$U$2:$Y$58,4,FALSE)</f>
        <v>170</v>
      </c>
      <c r="G38">
        <f t="shared" si="5"/>
        <v>21250</v>
      </c>
      <c r="U38" t="s">
        <v>6</v>
      </c>
      <c r="X38">
        <v>280</v>
      </c>
      <c r="Y38" s="7">
        <f t="shared" ref="Y38:Y43" si="6">X38*125</f>
        <v>35000</v>
      </c>
    </row>
    <row r="39" spans="1:25" x14ac:dyDescent="0.25">
      <c r="A39" t="s">
        <v>7</v>
      </c>
      <c r="B39" s="2">
        <v>263</v>
      </c>
      <c r="C39">
        <f t="shared" si="4"/>
        <v>2.63</v>
      </c>
      <c r="D39" s="2"/>
      <c r="F39">
        <f>VLOOKUP(A39,$U$2:$Y$58,4,FALSE)</f>
        <v>350</v>
      </c>
      <c r="G39">
        <f t="shared" si="5"/>
        <v>43750</v>
      </c>
      <c r="U39" t="s">
        <v>7</v>
      </c>
      <c r="X39">
        <v>350</v>
      </c>
      <c r="Y39" s="7">
        <f t="shared" si="6"/>
        <v>43750</v>
      </c>
    </row>
    <row r="40" spans="1:25" x14ac:dyDescent="0.25">
      <c r="A40" t="s">
        <v>9</v>
      </c>
      <c r="B40" s="2">
        <v>302</v>
      </c>
      <c r="C40">
        <f t="shared" si="4"/>
        <v>3.02</v>
      </c>
      <c r="D40" s="2"/>
      <c r="F40">
        <f>VLOOKUP(A40,$U$2:$Y$58,4,FALSE)</f>
        <v>400</v>
      </c>
      <c r="G40">
        <f t="shared" si="5"/>
        <v>50000</v>
      </c>
      <c r="U40" t="s">
        <v>9</v>
      </c>
      <c r="X40">
        <v>400</v>
      </c>
      <c r="Y40" s="7">
        <f t="shared" si="6"/>
        <v>50000</v>
      </c>
    </row>
    <row r="41" spans="1:25" x14ac:dyDescent="0.25">
      <c r="A41" t="s">
        <v>4</v>
      </c>
      <c r="B41" s="2">
        <v>164</v>
      </c>
      <c r="C41">
        <f t="shared" si="4"/>
        <v>1.64</v>
      </c>
      <c r="D41" s="2"/>
      <c r="F41">
        <f>VLOOKUP(A41,$U$2:$Y$58,4,FALSE)</f>
        <v>230</v>
      </c>
      <c r="G41">
        <f t="shared" si="5"/>
        <v>28750</v>
      </c>
      <c r="U41" t="s">
        <v>60</v>
      </c>
      <c r="V41" t="s">
        <v>104</v>
      </c>
      <c r="X41">
        <v>330</v>
      </c>
      <c r="Y41" s="7">
        <f t="shared" si="6"/>
        <v>41250</v>
      </c>
    </row>
    <row r="42" spans="1:25" x14ac:dyDescent="0.25">
      <c r="A42" t="s">
        <v>5</v>
      </c>
      <c r="B42" s="2">
        <v>177</v>
      </c>
      <c r="C42">
        <f t="shared" si="4"/>
        <v>1.77</v>
      </c>
      <c r="D42" s="2"/>
      <c r="F42">
        <f>VLOOKUP(A42,$U$2:$Y$58,4,FALSE)</f>
        <v>280</v>
      </c>
      <c r="G42">
        <f t="shared" si="5"/>
        <v>35000</v>
      </c>
      <c r="U42" t="s">
        <v>10</v>
      </c>
      <c r="V42" t="s">
        <v>104</v>
      </c>
      <c r="X42">
        <v>380</v>
      </c>
      <c r="Y42" s="7">
        <f t="shared" si="6"/>
        <v>47500</v>
      </c>
    </row>
    <row r="43" spans="1:25" x14ac:dyDescent="0.25">
      <c r="A43" t="s">
        <v>8</v>
      </c>
      <c r="B43" s="2">
        <v>282</v>
      </c>
      <c r="C43">
        <f t="shared" si="4"/>
        <v>2.82</v>
      </c>
      <c r="D43" s="2" t="s">
        <v>83</v>
      </c>
      <c r="F43">
        <v>330</v>
      </c>
      <c r="G43">
        <f t="shared" si="5"/>
        <v>41250</v>
      </c>
      <c r="U43" t="s">
        <v>11</v>
      </c>
      <c r="V43" t="s">
        <v>104</v>
      </c>
      <c r="X43">
        <v>400</v>
      </c>
      <c r="Y43" s="7">
        <f t="shared" si="6"/>
        <v>50000</v>
      </c>
    </row>
    <row r="44" spans="1:25" x14ac:dyDescent="0.25">
      <c r="A44" t="s">
        <v>10</v>
      </c>
      <c r="B44" s="2">
        <v>336</v>
      </c>
      <c r="C44">
        <f t="shared" si="4"/>
        <v>3.36</v>
      </c>
      <c r="D44" s="2" t="str">
        <f>VLOOKUP(A44,$U$2:$Y$58,2,FALSE)</f>
        <v xml:space="preserve">rt_1  </v>
      </c>
      <c r="F44">
        <f>VLOOKUP(A44,$U$2:$Y$58,4,FALSE)</f>
        <v>380</v>
      </c>
      <c r="G44">
        <f t="shared" si="5"/>
        <v>47500</v>
      </c>
      <c r="U44" t="s">
        <v>61</v>
      </c>
      <c r="Y44" s="7"/>
    </row>
    <row r="45" spans="1:25" x14ac:dyDescent="0.25">
      <c r="A45" t="s">
        <v>11</v>
      </c>
      <c r="B45" s="2">
        <v>343</v>
      </c>
      <c r="C45">
        <f t="shared" si="4"/>
        <v>3.43</v>
      </c>
      <c r="D45" s="2" t="str">
        <f>VLOOKUP(A45,$U$2:$Y$58,2,FALSE)</f>
        <v xml:space="preserve">rt_1  </v>
      </c>
      <c r="F45">
        <f>VLOOKUP(A45,$U$2:$Y$58,4,FALSE)</f>
        <v>400</v>
      </c>
      <c r="G45">
        <f t="shared" si="5"/>
        <v>50000</v>
      </c>
      <c r="U45" t="s">
        <v>12</v>
      </c>
      <c r="V45" t="s">
        <v>104</v>
      </c>
      <c r="X45">
        <v>480</v>
      </c>
      <c r="Y45" s="7">
        <f t="shared" ref="Y45:Y52" si="7">X45*125</f>
        <v>60000</v>
      </c>
    </row>
    <row r="46" spans="1:25" x14ac:dyDescent="0.25">
      <c r="A46" t="s">
        <v>12</v>
      </c>
      <c r="B46" s="2">
        <v>383</v>
      </c>
      <c r="C46">
        <f t="shared" si="4"/>
        <v>3.83</v>
      </c>
      <c r="D46" s="2" t="str">
        <f>VLOOKUP(A46,$U$2:$Y$58,2,FALSE)</f>
        <v xml:space="preserve">rt_1  </v>
      </c>
      <c r="F46">
        <f>VLOOKUP(A46,$U$2:$Y$58,4,FALSE)</f>
        <v>480</v>
      </c>
      <c r="G46">
        <f t="shared" si="5"/>
        <v>60000</v>
      </c>
      <c r="U46" t="s">
        <v>13</v>
      </c>
      <c r="V46" t="s">
        <v>104</v>
      </c>
      <c r="X46">
        <v>550</v>
      </c>
      <c r="Y46" s="7">
        <f t="shared" si="7"/>
        <v>68750</v>
      </c>
    </row>
    <row r="47" spans="1:25" x14ac:dyDescent="0.25">
      <c r="A47" t="s">
        <v>13</v>
      </c>
      <c r="B47" s="2">
        <v>414</v>
      </c>
      <c r="C47">
        <f t="shared" si="4"/>
        <v>4.1399999999999997</v>
      </c>
      <c r="D47" s="2" t="str">
        <f>VLOOKUP(A47,$U$2:$Y$58,2,FALSE)</f>
        <v xml:space="preserve">rt_1  </v>
      </c>
      <c r="F47">
        <f>VLOOKUP(A47,$U$2:$Y$58,4,FALSE)</f>
        <v>550</v>
      </c>
      <c r="G47">
        <f t="shared" si="5"/>
        <v>68750</v>
      </c>
      <c r="U47" t="s">
        <v>14</v>
      </c>
      <c r="V47" t="s">
        <v>104</v>
      </c>
      <c r="X47">
        <v>580</v>
      </c>
      <c r="Y47" s="7">
        <f t="shared" si="7"/>
        <v>72500</v>
      </c>
    </row>
    <row r="48" spans="1:25" x14ac:dyDescent="0.25">
      <c r="A48" t="s">
        <v>14</v>
      </c>
      <c r="B48" s="2">
        <v>486</v>
      </c>
      <c r="C48">
        <f t="shared" si="4"/>
        <v>4.8600000000000003</v>
      </c>
      <c r="D48" s="2" t="str">
        <f>VLOOKUP(A48,$U$2:$Y$58,2,FALSE)</f>
        <v xml:space="preserve">rt_1  </v>
      </c>
      <c r="F48">
        <f>VLOOKUP(A48,$U$2:$Y$58,4,FALSE)</f>
        <v>580</v>
      </c>
      <c r="G48">
        <f t="shared" si="5"/>
        <v>72500</v>
      </c>
      <c r="U48" t="s">
        <v>15</v>
      </c>
      <c r="V48" t="s">
        <v>104</v>
      </c>
      <c r="X48">
        <v>650</v>
      </c>
      <c r="Y48" s="7">
        <f t="shared" si="7"/>
        <v>81250</v>
      </c>
    </row>
    <row r="49" spans="1:25" x14ac:dyDescent="0.25">
      <c r="A49" t="s">
        <v>15</v>
      </c>
      <c r="B49" s="2">
        <v>558</v>
      </c>
      <c r="C49">
        <f t="shared" si="4"/>
        <v>5.58</v>
      </c>
      <c r="D49" s="2" t="str">
        <f>VLOOKUP(A49,$U$2:$Y$58,2,FALSE)</f>
        <v xml:space="preserve">rt_1  </v>
      </c>
      <c r="F49">
        <f>VLOOKUP(A49,$U$2:$Y$58,4,FALSE)</f>
        <v>650</v>
      </c>
      <c r="G49">
        <f t="shared" si="5"/>
        <v>81250</v>
      </c>
      <c r="U49" t="s">
        <v>16</v>
      </c>
      <c r="V49" t="s">
        <v>104</v>
      </c>
      <c r="X49">
        <v>1000</v>
      </c>
      <c r="Y49" s="7">
        <f t="shared" si="7"/>
        <v>125000</v>
      </c>
    </row>
    <row r="50" spans="1:25" x14ac:dyDescent="0.25">
      <c r="A50" t="s">
        <v>16</v>
      </c>
      <c r="B50" s="2">
        <v>606</v>
      </c>
      <c r="C50">
        <f t="shared" si="4"/>
        <v>6.06</v>
      </c>
      <c r="D50" s="2" t="str">
        <f>VLOOKUP(A50,$U$2:$Y$58,2,FALSE)</f>
        <v xml:space="preserve">rt_1  </v>
      </c>
      <c r="F50">
        <f>VLOOKUP(A50,$U$2:$Y$58,4,FALSE)</f>
        <v>1000</v>
      </c>
      <c r="G50">
        <f t="shared" si="5"/>
        <v>125000</v>
      </c>
      <c r="U50" t="s">
        <v>17</v>
      </c>
      <c r="V50" t="s">
        <v>104</v>
      </c>
      <c r="X50">
        <v>1100</v>
      </c>
      <c r="Y50" s="7">
        <f t="shared" si="7"/>
        <v>137500</v>
      </c>
    </row>
    <row r="51" spans="1:25" x14ac:dyDescent="0.25">
      <c r="A51" t="s">
        <v>17</v>
      </c>
      <c r="B51" s="2">
        <v>643</v>
      </c>
      <c r="C51">
        <f t="shared" si="4"/>
        <v>6.43</v>
      </c>
      <c r="D51" s="2" t="str">
        <f>VLOOKUP(A51,$U$2:$Y$58,2,FALSE)</f>
        <v xml:space="preserve">rt_1  </v>
      </c>
      <c r="F51">
        <f>VLOOKUP(A51,$U$2:$Y$58,4,FALSE)</f>
        <v>1100</v>
      </c>
      <c r="G51">
        <f t="shared" si="5"/>
        <v>137500</v>
      </c>
      <c r="U51" t="s">
        <v>18</v>
      </c>
      <c r="V51" t="s">
        <v>105</v>
      </c>
      <c r="X51">
        <v>900</v>
      </c>
      <c r="Y51" s="7">
        <f t="shared" si="7"/>
        <v>112500</v>
      </c>
    </row>
    <row r="52" spans="1:25" x14ac:dyDescent="0.25">
      <c r="A52" t="s">
        <v>18</v>
      </c>
      <c r="B52" s="2">
        <v>706</v>
      </c>
      <c r="C52">
        <f t="shared" si="4"/>
        <v>7.06</v>
      </c>
      <c r="D52" s="2" t="str">
        <f>VLOOKUP(A52,$U$2:$Y$58,2,FALSE)</f>
        <v xml:space="preserve">rt_2  </v>
      </c>
      <c r="E52" t="s">
        <v>96</v>
      </c>
      <c r="F52">
        <f>VLOOKUP(A52,$U$2:$Y$58,4,FALSE)</f>
        <v>900</v>
      </c>
      <c r="G52">
        <f t="shared" si="5"/>
        <v>112500</v>
      </c>
      <c r="U52" t="s">
        <v>19</v>
      </c>
      <c r="V52" t="s">
        <v>105</v>
      </c>
      <c r="X52">
        <v>1000</v>
      </c>
      <c r="Y52" s="7">
        <f t="shared" si="7"/>
        <v>125000</v>
      </c>
    </row>
    <row r="53" spans="1:25" x14ac:dyDescent="0.25">
      <c r="A53" t="s">
        <v>19</v>
      </c>
      <c r="B53" s="2">
        <v>844</v>
      </c>
      <c r="C53">
        <f t="shared" si="4"/>
        <v>8.44</v>
      </c>
      <c r="D53" t="str">
        <f>VLOOKUP(A53,$U$2:$Y$58,2,FALSE)</f>
        <v xml:space="preserve">rt_2  </v>
      </c>
      <c r="E53" t="s">
        <v>96</v>
      </c>
      <c r="F53">
        <f>VLOOKUP(A53,$U$2:$Y$58,4,FALSE)</f>
        <v>1000</v>
      </c>
      <c r="G53">
        <f t="shared" si="5"/>
        <v>125000</v>
      </c>
      <c r="U53" t="s">
        <v>62</v>
      </c>
    </row>
    <row r="54" spans="1:25" x14ac:dyDescent="0.25">
      <c r="U54" t="s">
        <v>63</v>
      </c>
      <c r="W54" t="s">
        <v>64</v>
      </c>
      <c r="X54">
        <v>140</v>
      </c>
      <c r="Y54" s="7">
        <f>X54*125</f>
        <v>17500</v>
      </c>
    </row>
    <row r="55" spans="1:25" x14ac:dyDescent="0.25">
      <c r="U55" t="s">
        <v>65</v>
      </c>
    </row>
    <row r="56" spans="1:25" x14ac:dyDescent="0.25">
      <c r="U56" t="s">
        <v>66</v>
      </c>
    </row>
    <row r="57" spans="1:25" x14ac:dyDescent="0.25">
      <c r="U57" t="s">
        <v>67</v>
      </c>
    </row>
    <row r="58" spans="1:25" x14ac:dyDescent="0.25">
      <c r="U58" t="s">
        <v>68</v>
      </c>
    </row>
  </sheetData>
  <pageMargins left="0.75" right="0.75" top="1" bottom="1" header="0.5" footer="0.5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"/>
  <sheetViews>
    <sheetView workbookViewId="0">
      <selection activeCell="A9" sqref="A9:XFD9"/>
    </sheetView>
  </sheetViews>
  <sheetFormatPr defaultRowHeight="15" x14ac:dyDescent="0.25"/>
  <cols>
    <col min="1" max="1" width="16.42578125" bestFit="1" customWidth="1"/>
    <col min="2" max="2" width="96" customWidth="1"/>
    <col min="3" max="3" width="5.7109375" bestFit="1" customWidth="1"/>
  </cols>
  <sheetData>
    <row r="1" spans="1:3" x14ac:dyDescent="0.25">
      <c r="A1" s="4" t="s">
        <v>80</v>
      </c>
      <c r="B1" s="4" t="s">
        <v>81</v>
      </c>
      <c r="C1" s="4" t="s">
        <v>82</v>
      </c>
    </row>
    <row r="2" spans="1:3" x14ac:dyDescent="0.25">
      <c r="A2" t="s">
        <v>83</v>
      </c>
      <c r="B2" t="s">
        <v>84</v>
      </c>
      <c r="C2">
        <v>5</v>
      </c>
    </row>
    <row r="3" spans="1:3" x14ac:dyDescent="0.25">
      <c r="A3" t="s">
        <v>85</v>
      </c>
      <c r="B3" t="s">
        <v>86</v>
      </c>
      <c r="C3">
        <v>10</v>
      </c>
    </row>
    <row r="4" spans="1:3" x14ac:dyDescent="0.25">
      <c r="A4" t="s">
        <v>87</v>
      </c>
      <c r="B4" t="s">
        <v>88</v>
      </c>
      <c r="C4">
        <v>15</v>
      </c>
    </row>
    <row r="5" spans="1:3" x14ac:dyDescent="0.25">
      <c r="A5" t="s">
        <v>89</v>
      </c>
      <c r="B5" t="s">
        <v>90</v>
      </c>
      <c r="C5">
        <v>7</v>
      </c>
    </row>
    <row r="6" spans="1:3" x14ac:dyDescent="0.25">
      <c r="A6" t="s">
        <v>91</v>
      </c>
      <c r="B6" t="s">
        <v>92</v>
      </c>
      <c r="C6">
        <v>0</v>
      </c>
    </row>
    <row r="7" spans="1:3" x14ac:dyDescent="0.25">
      <c r="A7" t="s">
        <v>93</v>
      </c>
      <c r="B7" t="s">
        <v>94</v>
      </c>
      <c r="C7">
        <v>5</v>
      </c>
    </row>
    <row r="8" spans="1:3" x14ac:dyDescent="0.25">
      <c r="A8" t="s">
        <v>64</v>
      </c>
      <c r="B8" t="s">
        <v>95</v>
      </c>
      <c r="C8">
        <v>-10</v>
      </c>
    </row>
    <row r="9" spans="1:3" x14ac:dyDescent="0.25">
      <c r="A9" t="s">
        <v>96</v>
      </c>
      <c r="B9" t="s">
        <v>97</v>
      </c>
      <c r="C9">
        <v>-10</v>
      </c>
    </row>
    <row r="10" spans="1:3" x14ac:dyDescent="0.25">
      <c r="A10" t="s">
        <v>98</v>
      </c>
      <c r="B10" t="s">
        <v>99</v>
      </c>
      <c r="C10">
        <v>0</v>
      </c>
    </row>
    <row r="11" spans="1:3" x14ac:dyDescent="0.25">
      <c r="A11" t="s">
        <v>100</v>
      </c>
      <c r="B11" t="s">
        <v>101</v>
      </c>
      <c r="C11">
        <v>-5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1"/>
  <sheetViews>
    <sheetView topLeftCell="A13" workbookViewId="0">
      <selection activeCell="C33" sqref="C33"/>
    </sheetView>
  </sheetViews>
  <sheetFormatPr defaultRowHeight="15" x14ac:dyDescent="0.25"/>
  <cols>
    <col min="1" max="1" width="23.140625" bestFit="1" customWidth="1"/>
    <col min="2" max="2" width="12.42578125" bestFit="1" customWidth="1"/>
    <col min="3" max="3" width="15.140625" bestFit="1" customWidth="1"/>
    <col min="4" max="4" width="16.5703125" bestFit="1" customWidth="1"/>
    <col min="5" max="5" width="31.7109375" bestFit="1" customWidth="1"/>
  </cols>
  <sheetData>
    <row r="1" spans="1:8" x14ac:dyDescent="0.25">
      <c r="A1" s="4" t="s">
        <v>0</v>
      </c>
      <c r="B1" s="4" t="s">
        <v>1</v>
      </c>
      <c r="C1" s="4" t="s">
        <v>20</v>
      </c>
      <c r="D1" s="4" t="s">
        <v>69</v>
      </c>
      <c r="E1" s="4" t="s">
        <v>70</v>
      </c>
      <c r="F1" s="4"/>
      <c r="G1" s="4"/>
      <c r="H1" s="4"/>
    </row>
    <row r="2" spans="1:8" x14ac:dyDescent="0.25">
      <c r="A2" t="s">
        <v>26</v>
      </c>
      <c r="B2">
        <v>100</v>
      </c>
      <c r="C2">
        <v>1</v>
      </c>
      <c r="D2">
        <v>140</v>
      </c>
      <c r="E2">
        <v>17500</v>
      </c>
    </row>
    <row r="3" spans="1:8" x14ac:dyDescent="0.25">
      <c r="A3" t="s">
        <v>63</v>
      </c>
      <c r="B3">
        <v>121</v>
      </c>
      <c r="C3">
        <v>1.21</v>
      </c>
      <c r="D3">
        <v>140</v>
      </c>
      <c r="E3">
        <v>17500</v>
      </c>
    </row>
    <row r="4" spans="1:8" x14ac:dyDescent="0.25">
      <c r="A4" t="s">
        <v>28</v>
      </c>
      <c r="B4">
        <v>125</v>
      </c>
      <c r="C4">
        <v>1.25</v>
      </c>
      <c r="D4">
        <v>150</v>
      </c>
      <c r="E4">
        <v>18750</v>
      </c>
    </row>
    <row r="5" spans="1:8" x14ac:dyDescent="0.25">
      <c r="A5" t="s">
        <v>30</v>
      </c>
      <c r="B5">
        <v>139</v>
      </c>
      <c r="C5">
        <v>1.39</v>
      </c>
      <c r="D5">
        <v>150</v>
      </c>
      <c r="E5">
        <v>18750</v>
      </c>
    </row>
    <row r="6" spans="1:8" x14ac:dyDescent="0.25">
      <c r="A6" t="s">
        <v>57</v>
      </c>
      <c r="B6">
        <v>142</v>
      </c>
      <c r="C6">
        <v>1.42</v>
      </c>
      <c r="D6">
        <v>170</v>
      </c>
      <c r="E6">
        <v>21250</v>
      </c>
    </row>
    <row r="7" spans="1:8" x14ac:dyDescent="0.25">
      <c r="A7" t="s">
        <v>2</v>
      </c>
      <c r="B7">
        <v>142</v>
      </c>
      <c r="C7">
        <v>1.42</v>
      </c>
      <c r="D7">
        <v>170</v>
      </c>
      <c r="E7">
        <v>21250</v>
      </c>
    </row>
    <row r="8" spans="1:8" x14ac:dyDescent="0.25">
      <c r="A8" t="s">
        <v>27</v>
      </c>
      <c r="B8">
        <v>160</v>
      </c>
      <c r="C8">
        <v>1.6</v>
      </c>
      <c r="D8">
        <v>300</v>
      </c>
      <c r="E8">
        <v>37500</v>
      </c>
    </row>
    <row r="9" spans="1:8" x14ac:dyDescent="0.25">
      <c r="A9" t="s">
        <v>3</v>
      </c>
      <c r="B9">
        <v>162</v>
      </c>
      <c r="C9">
        <v>1.62</v>
      </c>
    </row>
    <row r="10" spans="1:8" x14ac:dyDescent="0.25">
      <c r="A10" t="s">
        <v>4</v>
      </c>
      <c r="B10">
        <v>164</v>
      </c>
      <c r="C10">
        <v>1.64</v>
      </c>
      <c r="D10">
        <v>230</v>
      </c>
      <c r="E10">
        <v>28750</v>
      </c>
    </row>
    <row r="11" spans="1:8" x14ac:dyDescent="0.25">
      <c r="A11" t="s">
        <v>58</v>
      </c>
      <c r="B11">
        <v>165</v>
      </c>
      <c r="C11">
        <v>1.65</v>
      </c>
      <c r="D11">
        <v>200</v>
      </c>
      <c r="E11">
        <v>25000</v>
      </c>
    </row>
    <row r="12" spans="1:8" x14ac:dyDescent="0.25">
      <c r="A12" t="s">
        <v>71</v>
      </c>
      <c r="B12">
        <v>169</v>
      </c>
      <c r="C12">
        <v>1.69</v>
      </c>
      <c r="D12">
        <v>160</v>
      </c>
      <c r="E12">
        <v>20000</v>
      </c>
    </row>
    <row r="13" spans="1:8" x14ac:dyDescent="0.25">
      <c r="A13" t="s">
        <v>5</v>
      </c>
      <c r="B13">
        <v>177</v>
      </c>
      <c r="C13">
        <v>1.77</v>
      </c>
      <c r="D13">
        <v>280</v>
      </c>
      <c r="E13">
        <v>35000</v>
      </c>
    </row>
    <row r="14" spans="1:8" x14ac:dyDescent="0.25">
      <c r="A14" t="s">
        <v>32</v>
      </c>
      <c r="B14">
        <v>187</v>
      </c>
      <c r="C14">
        <v>1.87</v>
      </c>
      <c r="D14">
        <v>220</v>
      </c>
      <c r="E14">
        <v>27500</v>
      </c>
    </row>
    <row r="15" spans="1:8" x14ac:dyDescent="0.25">
      <c r="A15" t="s">
        <v>72</v>
      </c>
      <c r="B15">
        <v>210</v>
      </c>
      <c r="C15">
        <v>2.1</v>
      </c>
      <c r="D15">
        <v>230</v>
      </c>
      <c r="E15">
        <v>28750</v>
      </c>
    </row>
    <row r="16" spans="1:8" x14ac:dyDescent="0.25">
      <c r="A16" t="s">
        <v>34</v>
      </c>
      <c r="B16">
        <v>215</v>
      </c>
      <c r="C16">
        <v>2.15</v>
      </c>
      <c r="D16">
        <v>280</v>
      </c>
      <c r="E16">
        <v>35000</v>
      </c>
    </row>
    <row r="17" spans="1:5" x14ac:dyDescent="0.25">
      <c r="A17" t="s">
        <v>43</v>
      </c>
      <c r="B17">
        <v>218</v>
      </c>
      <c r="C17">
        <v>2.1800000000000002</v>
      </c>
      <c r="D17">
        <v>250</v>
      </c>
      <c r="E17">
        <v>31250</v>
      </c>
    </row>
    <row r="18" spans="1:5" x14ac:dyDescent="0.25">
      <c r="A18" t="s">
        <v>6</v>
      </c>
      <c r="B18">
        <v>246</v>
      </c>
      <c r="C18">
        <v>2.46</v>
      </c>
      <c r="D18">
        <v>280</v>
      </c>
      <c r="E18">
        <v>35000</v>
      </c>
    </row>
    <row r="19" spans="1:5" x14ac:dyDescent="0.25">
      <c r="A19" t="s">
        <v>35</v>
      </c>
      <c r="B19">
        <v>253</v>
      </c>
      <c r="C19">
        <v>2.5299999999999998</v>
      </c>
      <c r="D19">
        <v>300</v>
      </c>
      <c r="E19">
        <v>37500</v>
      </c>
    </row>
    <row r="20" spans="1:5" x14ac:dyDescent="0.25">
      <c r="A20" t="s">
        <v>7</v>
      </c>
      <c r="B20">
        <v>263</v>
      </c>
      <c r="C20">
        <v>2.63</v>
      </c>
      <c r="D20">
        <v>350</v>
      </c>
      <c r="E20">
        <v>43750</v>
      </c>
    </row>
    <row r="21" spans="1:5" x14ac:dyDescent="0.25">
      <c r="A21" t="s">
        <v>66</v>
      </c>
      <c r="B21">
        <v>281</v>
      </c>
      <c r="C21">
        <v>2.81</v>
      </c>
    </row>
    <row r="22" spans="1:5" x14ac:dyDescent="0.25">
      <c r="A22" t="s">
        <v>8</v>
      </c>
      <c r="B22">
        <v>282</v>
      </c>
      <c r="C22">
        <v>2.82</v>
      </c>
      <c r="D22">
        <v>330</v>
      </c>
      <c r="E22">
        <v>41250</v>
      </c>
    </row>
    <row r="23" spans="1:5" x14ac:dyDescent="0.25">
      <c r="A23" t="s">
        <v>73</v>
      </c>
      <c r="B23">
        <v>284</v>
      </c>
      <c r="C23">
        <v>2.84</v>
      </c>
      <c r="D23">
        <v>400</v>
      </c>
      <c r="E23">
        <v>50000</v>
      </c>
    </row>
    <row r="24" spans="1:5" x14ac:dyDescent="0.25">
      <c r="A24" t="s">
        <v>74</v>
      </c>
      <c r="B24">
        <v>295</v>
      </c>
      <c r="C24">
        <v>2.95</v>
      </c>
      <c r="D24">
        <v>500</v>
      </c>
      <c r="E24">
        <v>62500</v>
      </c>
    </row>
    <row r="25" spans="1:5" x14ac:dyDescent="0.25">
      <c r="A25" t="s">
        <v>77</v>
      </c>
      <c r="B25">
        <v>301</v>
      </c>
      <c r="C25">
        <v>3.01</v>
      </c>
    </row>
    <row r="26" spans="1:5" x14ac:dyDescent="0.25">
      <c r="A26" t="s">
        <v>45</v>
      </c>
      <c r="B26">
        <v>301</v>
      </c>
      <c r="C26">
        <v>3.01</v>
      </c>
      <c r="D26">
        <v>330</v>
      </c>
      <c r="E26">
        <v>41250</v>
      </c>
    </row>
    <row r="27" spans="1:5" x14ac:dyDescent="0.25">
      <c r="A27" t="s">
        <v>9</v>
      </c>
      <c r="B27">
        <v>302</v>
      </c>
      <c r="C27">
        <v>3.02</v>
      </c>
      <c r="D27">
        <v>400</v>
      </c>
      <c r="E27">
        <v>50000</v>
      </c>
    </row>
    <row r="28" spans="1:5" x14ac:dyDescent="0.25">
      <c r="A28" t="s">
        <v>75</v>
      </c>
      <c r="B28">
        <v>326</v>
      </c>
      <c r="C28">
        <v>3.26</v>
      </c>
      <c r="D28">
        <v>500</v>
      </c>
      <c r="E28">
        <v>62500</v>
      </c>
    </row>
    <row r="29" spans="1:5" x14ac:dyDescent="0.25">
      <c r="A29" t="s">
        <v>10</v>
      </c>
      <c r="B29">
        <v>336</v>
      </c>
      <c r="C29">
        <v>3.36</v>
      </c>
      <c r="D29">
        <v>380</v>
      </c>
      <c r="E29">
        <v>47500</v>
      </c>
    </row>
    <row r="30" spans="1:5" x14ac:dyDescent="0.25">
      <c r="A30" t="s">
        <v>11</v>
      </c>
      <c r="B30">
        <v>343</v>
      </c>
      <c r="C30">
        <v>3.43</v>
      </c>
      <c r="D30">
        <v>400</v>
      </c>
      <c r="E30">
        <v>50000</v>
      </c>
    </row>
    <row r="31" spans="1:5" x14ac:dyDescent="0.25">
      <c r="A31" t="s">
        <v>40</v>
      </c>
      <c r="B31">
        <v>350</v>
      </c>
      <c r="C31">
        <v>3.5</v>
      </c>
      <c r="D31">
        <v>700</v>
      </c>
      <c r="E31">
        <v>87500</v>
      </c>
    </row>
    <row r="32" spans="1:5" x14ac:dyDescent="0.25">
      <c r="A32" t="s">
        <v>76</v>
      </c>
      <c r="B32">
        <v>367</v>
      </c>
      <c r="C32">
        <v>3.67</v>
      </c>
      <c r="D32">
        <v>700</v>
      </c>
      <c r="E32">
        <v>87500</v>
      </c>
    </row>
    <row r="33" spans="1:5" x14ac:dyDescent="0.25">
      <c r="A33" t="s">
        <v>46</v>
      </c>
      <c r="B33">
        <v>376</v>
      </c>
      <c r="C33">
        <v>3.76</v>
      </c>
      <c r="D33">
        <v>400</v>
      </c>
      <c r="E33">
        <v>50000</v>
      </c>
    </row>
    <row r="34" spans="1:5" x14ac:dyDescent="0.25">
      <c r="A34" t="s">
        <v>12</v>
      </c>
      <c r="B34">
        <v>383</v>
      </c>
      <c r="C34">
        <v>3.83</v>
      </c>
      <c r="D34">
        <v>480</v>
      </c>
      <c r="E34">
        <v>60000</v>
      </c>
    </row>
    <row r="35" spans="1:5" x14ac:dyDescent="0.25">
      <c r="A35" t="s">
        <v>42</v>
      </c>
      <c r="B35">
        <v>413</v>
      </c>
      <c r="C35">
        <v>4.13</v>
      </c>
      <c r="D35">
        <v>1000</v>
      </c>
      <c r="E35">
        <v>125000</v>
      </c>
    </row>
    <row r="36" spans="1:5" x14ac:dyDescent="0.25">
      <c r="A36" t="s">
        <v>13</v>
      </c>
      <c r="B36">
        <v>414</v>
      </c>
      <c r="C36">
        <v>4.1399999999999997</v>
      </c>
      <c r="D36">
        <v>550</v>
      </c>
      <c r="E36">
        <v>68750</v>
      </c>
    </row>
    <row r="37" spans="1:5" x14ac:dyDescent="0.25">
      <c r="A37" t="s">
        <v>47</v>
      </c>
      <c r="B37">
        <v>441</v>
      </c>
      <c r="C37">
        <v>4.41</v>
      </c>
      <c r="D37">
        <v>500</v>
      </c>
      <c r="E37">
        <v>62500</v>
      </c>
    </row>
    <row r="38" spans="1:5" x14ac:dyDescent="0.25">
      <c r="A38" t="s">
        <v>48</v>
      </c>
      <c r="B38">
        <v>472</v>
      </c>
      <c r="C38">
        <v>4.72</v>
      </c>
      <c r="D38">
        <v>600</v>
      </c>
      <c r="E38">
        <v>75000</v>
      </c>
    </row>
    <row r="39" spans="1:5" x14ac:dyDescent="0.25">
      <c r="A39" t="s">
        <v>14</v>
      </c>
      <c r="B39">
        <v>486</v>
      </c>
      <c r="C39">
        <v>4.8600000000000003</v>
      </c>
      <c r="D39">
        <v>580</v>
      </c>
      <c r="E39">
        <v>72500</v>
      </c>
    </row>
    <row r="40" spans="1:5" x14ac:dyDescent="0.25">
      <c r="A40" t="s">
        <v>49</v>
      </c>
      <c r="B40">
        <v>546</v>
      </c>
      <c r="C40">
        <v>5.46</v>
      </c>
      <c r="D40">
        <v>700</v>
      </c>
      <c r="E40">
        <v>87500</v>
      </c>
    </row>
    <row r="41" spans="1:5" x14ac:dyDescent="0.25">
      <c r="A41" t="s">
        <v>15</v>
      </c>
      <c r="B41">
        <v>558</v>
      </c>
      <c r="C41">
        <v>5.58</v>
      </c>
      <c r="D41">
        <v>650</v>
      </c>
      <c r="E41">
        <v>81250</v>
      </c>
    </row>
    <row r="42" spans="1:5" x14ac:dyDescent="0.25">
      <c r="A42" t="s">
        <v>50</v>
      </c>
      <c r="B42">
        <v>573</v>
      </c>
      <c r="C42">
        <v>5.73</v>
      </c>
      <c r="D42">
        <v>800</v>
      </c>
      <c r="E42">
        <v>100000</v>
      </c>
    </row>
    <row r="43" spans="1:5" x14ac:dyDescent="0.25">
      <c r="A43" t="s">
        <v>16</v>
      </c>
      <c r="B43">
        <v>606</v>
      </c>
      <c r="C43">
        <v>6.06</v>
      </c>
      <c r="D43">
        <v>1000</v>
      </c>
      <c r="E43">
        <v>125000</v>
      </c>
    </row>
    <row r="44" spans="1:5" x14ac:dyDescent="0.25">
      <c r="A44" t="s">
        <v>51</v>
      </c>
      <c r="B44">
        <v>642</v>
      </c>
      <c r="C44">
        <v>6.42</v>
      </c>
      <c r="D44">
        <v>1200</v>
      </c>
      <c r="E44">
        <v>150000</v>
      </c>
    </row>
    <row r="45" spans="1:5" x14ac:dyDescent="0.25">
      <c r="A45" t="s">
        <v>17</v>
      </c>
      <c r="B45">
        <v>643</v>
      </c>
      <c r="C45">
        <v>6.43</v>
      </c>
      <c r="D45">
        <v>1100</v>
      </c>
      <c r="E45">
        <v>137500</v>
      </c>
    </row>
    <row r="46" spans="1:5" x14ac:dyDescent="0.25">
      <c r="A46" t="s">
        <v>52</v>
      </c>
      <c r="B46">
        <v>648</v>
      </c>
      <c r="C46">
        <v>6.48</v>
      </c>
      <c r="D46">
        <v>1500</v>
      </c>
      <c r="E46">
        <v>187500</v>
      </c>
    </row>
    <row r="47" spans="1:5" x14ac:dyDescent="0.25">
      <c r="A47" t="s">
        <v>53</v>
      </c>
      <c r="B47">
        <v>700</v>
      </c>
      <c r="C47">
        <v>7</v>
      </c>
      <c r="D47">
        <v>2000</v>
      </c>
      <c r="E47">
        <v>250000</v>
      </c>
    </row>
    <row r="48" spans="1:5" x14ac:dyDescent="0.25">
      <c r="A48" t="s">
        <v>18</v>
      </c>
      <c r="B48">
        <v>706</v>
      </c>
      <c r="C48">
        <v>7.06</v>
      </c>
      <c r="D48">
        <v>900</v>
      </c>
      <c r="E48">
        <v>112500</v>
      </c>
    </row>
    <row r="49" spans="1:5" x14ac:dyDescent="0.25">
      <c r="A49" t="s">
        <v>54</v>
      </c>
      <c r="B49">
        <v>811</v>
      </c>
      <c r="C49">
        <v>8.11</v>
      </c>
      <c r="D49">
        <v>1200</v>
      </c>
      <c r="E49">
        <v>150000</v>
      </c>
    </row>
    <row r="50" spans="1:5" x14ac:dyDescent="0.25">
      <c r="A50" t="s">
        <v>19</v>
      </c>
      <c r="B50">
        <v>844</v>
      </c>
      <c r="C50">
        <v>8.44</v>
      </c>
      <c r="D50">
        <v>1000</v>
      </c>
      <c r="E50">
        <v>125000</v>
      </c>
    </row>
    <row r="51" spans="1:5" x14ac:dyDescent="0.25">
      <c r="A51" t="s">
        <v>56</v>
      </c>
      <c r="B51">
        <v>1014</v>
      </c>
      <c r="C51">
        <v>10.14</v>
      </c>
      <c r="D51">
        <v>1600</v>
      </c>
      <c r="E51">
        <v>200000</v>
      </c>
    </row>
  </sheetData>
  <sortState ref="A2:E51">
    <sortCondition ref="C1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tier_score_sheet</vt:lpstr>
      <vt:lpstr>comment_table</vt:lpstr>
      <vt:lpstr>tier_score_sheet_copy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2023-01-02T06:20:45Z</dcterms:created>
  <dcterms:modified xsi:type="dcterms:W3CDTF">2023-01-25T08:28:13Z</dcterms:modified>
</cp:coreProperties>
</file>